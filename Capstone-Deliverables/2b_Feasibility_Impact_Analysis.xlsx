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groverkds/Downloads/"/>
    </mc:Choice>
  </mc:AlternateContent>
  <xr:revisionPtr revIDLastSave="0" documentId="8_{73D85F74-941F-7948-B26E-28C3894F37D9}" xr6:coauthVersionLast="47" xr6:coauthVersionMax="47" xr10:uidLastSave="{00000000-0000-0000-0000-000000000000}"/>
  <bookViews>
    <workbookView xWindow="0" yWindow="600" windowWidth="38400" windowHeight="19200" xr2:uid="{758D747A-4CFF-FB4E-A16D-81C68BF3277D}"/>
  </bookViews>
  <sheets>
    <sheet name="AtliQ Contract Analyzer" sheetId="4" r:id="rId1"/>
  </sheet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<sst xmlns="http://schemas.openxmlformats.org/spreadsheetml/2006/main" count="85" uniqueCount="46">
  <si>
    <t>Task</t>
  </si>
  <si>
    <t>Description</t>
  </si>
  <si>
    <t>Data Feasibility</t>
  </si>
  <si>
    <t>Implementation Feasibility</t>
  </si>
  <si>
    <t>Feasibility</t>
  </si>
  <si>
    <t>Impact</t>
  </si>
  <si>
    <t>Total Score</t>
  </si>
  <si>
    <t>Quadrant midpoint (input)</t>
  </si>
  <si>
    <t>JD Creation Automation</t>
  </si>
  <si>
    <t>Creation or modification of JD using existing JDs and job information / requisition form</t>
  </si>
  <si>
    <t>Vert X</t>
  </si>
  <si>
    <t>Vert Y</t>
  </si>
  <si>
    <t>Horiz X</t>
  </si>
  <si>
    <t>Horiz Y</t>
  </si>
  <si>
    <t>Posting  Automation</t>
  </si>
  <si>
    <t>Post job on multiple platforms after taking in JD and customizing the job templates</t>
  </si>
  <si>
    <t>Outreach Automation</t>
  </si>
  <si>
    <t>AI Agent that can automate candidate outreach on LinkedIn for a given job posting</t>
  </si>
  <si>
    <t>Resume Screening</t>
  </si>
  <si>
    <t>Match Resume with JD</t>
  </si>
  <si>
    <t>Candidate Ranking</t>
  </si>
  <si>
    <t>Rank Different Candidates on the basis of Data</t>
  </si>
  <si>
    <t>Helper data for chart quadrant lines</t>
  </si>
  <si>
    <t>Candidate Interview Automation</t>
  </si>
  <si>
    <t>Interview candidates using AI Agents</t>
  </si>
  <si>
    <t>Interview Scheduling Automation</t>
  </si>
  <si>
    <t>Schedule Interviews with candidates and interviewers automatically</t>
  </si>
  <si>
    <t>Quadrant label anchors</t>
  </si>
  <si>
    <t>Quick Wins</t>
  </si>
  <si>
    <t>Big Bets</t>
  </si>
  <si>
    <t>Fill-Ins</t>
  </si>
  <si>
    <t>Deprioritize</t>
  </si>
  <si>
    <t>AI Spend Analysis</t>
  </si>
  <si>
    <t xml:space="preserve">An AI System that could absorb the utilization report and spend analysis to recommend what are the alternatives available within trinsic ecosystem, and how things would change for the client. </t>
  </si>
  <si>
    <t>An AI agent that could go into client's  AWS, GCP or Azure panels, and create a report of what's being utilized, subscriptions, cost per service, etc. This would also generate a report of what AWS components are being used</t>
  </si>
  <si>
    <t>Customer Chatbot</t>
  </si>
  <si>
    <t xml:space="preserve">An AI Assistant that could help customers solve their basic queries and troubleshooting for most of the operations they have. This could help reduce some time for support team. </t>
  </si>
  <si>
    <t>Support Assistant for Support team</t>
  </si>
  <si>
    <t>Support team gets a lot of tickets every single day, and these tickets need to be researched upon, and once the research is done internally, they will compile an answer for the support. This system would research and prepare a solution for the support team, which they can customize and help customer with.</t>
  </si>
  <si>
    <t>Adoption Feasibility</t>
  </si>
  <si>
    <t>Trinsic Benefit Analyzer</t>
  </si>
  <si>
    <t>Contract-Vendor matcher</t>
  </si>
  <si>
    <t>Trinsic has some vendors in their company, who can sell services to trinsic's clients if there's a relevant match in need</t>
  </si>
  <si>
    <t>Trinsic AI</t>
  </si>
  <si>
    <t>Creating an AI that could do everything that a user wants to do, or somebody wants to take care of, and very high level. Nobody needs to do anything manually anymore</t>
  </si>
  <si>
    <t>Chart series names (linked to column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</si>
</sst>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12"/>
      <color rgb="FF0000FF"/>
      <name val="Aptos Narrow"/>
      <family val="2"/>
      <scheme val="minor"/>
    </font>
    <font>
      <i/>
      <sz val="9"/>
      <color theme="1"/>
      <name val="Aptos Narrow"/>
      <family val="2"/>
      <scheme val="minor"/>
    </font>
  </fonts>
  <fills count="4">
    <fill>
      <patternFill patternType="none"/>
    </fill>
    <fill>
      <patternFill patternType="gray125"/>
    </fill>
    <fill>
      <patternFill patternType="solid">
        <fgColor rgb="FFD9E2D9"/>
        <bgColor indexed="64"/>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10">
    <xf numFmtId="0" fontId="0" fillId="0" borderId="0" xfId="0"/>
    <xf numFmtId="0" fontId="1" fillId="0" borderId="0" xfId="0" applyFont="1"/>
    <xf numFmtId="0" fontId="0" fillId="0" borderId="1" xfId="0" applyBorder="1" applyAlignment="1">
      <alignment horizontal="center"/>
    </xf>
    <xf numFmtId="0" fontId="1" fillId="2" borderId="1" xfId="0" applyFont="1" applyFill="1" applyBorder="1" applyAlignment="1">
      <alignment wrapText="1"/>
    </xf>
    <xf numFmtId="0" fontId="1" fillId="2" borderId="1" xfId="0" applyFont="1" applyFill="1" applyBorder="1" applyAlignment="1">
      <alignment horizontal="center" wrapText="1"/>
    </xf>
    <xf numFmtId="0" fontId="0" fillId="0" borderId="1" xfId="0" applyBorder="1" applyAlignment="1">
      <alignment wrapText="1"/>
    </xf>
    <xf numFmtId="0" fontId="1" fillId="2" borderId="2" xfId="0" applyFont="1" applyFill="1" applyBorder="1" applyAlignment="1">
      <alignment horizontal="center" wrapText="1"/>
    </xf>
    <xf numFmtId="0" fontId="2" fillId="0" borderId="0" xfId="0" applyFont="1"/>
    <xf numFmtId="0" fontId="3" fillId="0" borderId="0" xfId="0" applyFont="1"/>
    <xf numFmtId="0" fontId="2"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Feasibility vs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AI Spend Analysis</c:v>
          </c:tx>
          <c:spPr>
            <a:ln w="25400" cap="rnd">
              <a:noFill/>
              <a:round/>
            </a:ln>
            <a:effectLst/>
          </c:spPr>
          <c:marker>
            <c:symbol val="circle"/>
            <c:size val="10"/>
            <c:spPr>
              <a:solidFill>
                <a:schemeClr val="accent1"/>
              </a:solidFill>
              <a:ln w="9525">
                <a:solidFill>
                  <a:schemeClr val="accent1"/>
                </a:solidFill>
              </a:ln>
              <a:effectLst/>
            </c:spPr>
          </c:marker>
          <c:xVal>
            <c:numRef>
              <c:f>'AtliQ Contract Analyzer'!$F$2</c:f>
              <c:numCache>
                <c:formatCode>General</c:formatCode>
                <c:ptCount val="1"/>
                <c:pt idx="0">
                  <c:v>#N/A</c:v>
                </c:pt>
              </c:numCache>
            </c:numRef>
          </c:xVal>
          <c:yVal>
            <c:numRef>
              <c:f>'AtliQ Contract Analyzer'!$G$2</c:f>
              <c:numCache>
                <c:formatCode>General</c:formatCode>
                <c:ptCount val="1"/>
              </c:numCache>
            </c:numRef>
          </c:yVal>
          <c:smooth val="0"/>
          <c:extLst>
            <c:ext xmlns:c16="http://schemas.microsoft.com/office/drawing/2014/chart" uri="{C3380CC4-5D6E-409C-BE32-E72D297353CC}">
              <c16:uniqueId val="{00000000-738A-DC4F-95BB-C4370CCB3106}"/>
            </c:ext>
          </c:extLst>
        </c:ser>
        <c:ser>
          <c:idx val="1"/>
          <c:order val="1"/>
          <c:tx>
            <c:v>Trinsic Benefit Analyzer</c:v>
          </c:tx>
          <c:spPr>
            <a:ln w="25400" cap="rnd">
              <a:noFill/>
              <a:round/>
            </a:ln>
            <a:effectLst/>
          </c:spPr>
          <c:marker>
            <c:symbol val="circle"/>
            <c:size val="10"/>
            <c:spPr>
              <a:solidFill>
                <a:schemeClr val="accent2"/>
              </a:solidFill>
              <a:ln w="9525">
                <a:solidFill>
                  <a:schemeClr val="accent2"/>
                </a:solidFill>
              </a:ln>
              <a:effectLst/>
            </c:spPr>
          </c:marker>
          <c:xVal>
            <c:numRef>
              <c:f>'AtliQ Contract Analyzer'!$F$3</c:f>
              <c:numCache>
                <c:formatCode>General</c:formatCode>
                <c:ptCount val="1"/>
                <c:pt idx="0">
                  <c:v>#N/A</c:v>
                </c:pt>
              </c:numCache>
            </c:numRef>
          </c:xVal>
          <c:yVal>
            <c:numRef>
              <c:f>'AtliQ Contract Analyzer'!$G$3</c:f>
              <c:numCache>
                <c:formatCode>General</c:formatCode>
                <c:ptCount val="1"/>
              </c:numCache>
            </c:numRef>
          </c:yVal>
          <c:smooth val="0"/>
          <c:extLst>
            <c:ext xmlns:c16="http://schemas.microsoft.com/office/drawing/2014/chart" uri="{C3380CC4-5D6E-409C-BE32-E72D297353CC}">
              <c16:uniqueId val="{00000001-738A-DC4F-95BB-C4370CCB3106}"/>
            </c:ext>
          </c:extLst>
        </c:ser>
        <c:ser>
          <c:idx val="2"/>
          <c:order val="2"/>
          <c:tx>
            <c:v>Customer Chatbot</c:v>
          </c:tx>
          <c:spPr>
            <a:ln w="25400" cap="rnd">
              <a:noFill/>
              <a:round/>
            </a:ln>
            <a:effectLst/>
          </c:spPr>
          <c:marker>
            <c:symbol val="circle"/>
            <c:size val="10"/>
            <c:spPr>
              <a:solidFill>
                <a:schemeClr val="accent3"/>
              </a:solidFill>
              <a:ln w="9525">
                <a:solidFill>
                  <a:schemeClr val="accent3"/>
                </a:solidFill>
              </a:ln>
              <a:effectLst/>
            </c:spPr>
          </c:marker>
          <c:xVal>
            <c:numRef>
              <c:f>'AtliQ Contract Analyzer'!$F$4</c:f>
              <c:numCache>
                <c:formatCode>General</c:formatCode>
                <c:ptCount val="1"/>
                <c:pt idx="0">
                  <c:v>#N/A</c:v>
                </c:pt>
              </c:numCache>
            </c:numRef>
          </c:xVal>
          <c:yVal>
            <c:numRef>
              <c:f>'AtliQ Contract Analyzer'!$G$4</c:f>
              <c:numCache>
                <c:formatCode>General</c:formatCode>
                <c:ptCount val="1"/>
              </c:numCache>
            </c:numRef>
          </c:yVal>
          <c:smooth val="0"/>
          <c:extLst>
            <c:ext xmlns:c16="http://schemas.microsoft.com/office/drawing/2014/chart" uri="{C3380CC4-5D6E-409C-BE32-E72D297353CC}">
              <c16:uniqueId val="{00000002-738A-DC4F-95BB-C4370CCB3106}"/>
            </c:ext>
          </c:extLst>
        </c:ser>
        <c:ser>
          <c:idx val="3"/>
          <c:order val="3"/>
          <c:tx>
            <c:v>Support Assistant for Support team</c:v>
          </c:tx>
          <c:spPr>
            <a:ln w="25400" cap="rnd">
              <a:noFill/>
              <a:round/>
            </a:ln>
            <a:effectLst/>
          </c:spPr>
          <c:marker>
            <c:symbol val="circle"/>
            <c:size val="10"/>
            <c:spPr>
              <a:solidFill>
                <a:schemeClr val="accent4"/>
              </a:solidFill>
              <a:ln w="9525">
                <a:solidFill>
                  <a:schemeClr val="accent4"/>
                </a:solidFill>
              </a:ln>
              <a:effectLst/>
            </c:spPr>
          </c:marker>
          <c:xVal>
            <c:numRef>
              <c:f>'AtliQ Contract Analyzer'!$F$5</c:f>
              <c:numCache>
                <c:formatCode>General</c:formatCode>
                <c:ptCount val="1"/>
                <c:pt idx="0">
                  <c:v>#N/A</c:v>
                </c:pt>
              </c:numCache>
            </c:numRef>
          </c:xVal>
          <c:yVal>
            <c:numRef>
              <c:f>'AtliQ Contract Analyzer'!$G$5</c:f>
              <c:numCache>
                <c:formatCode>General</c:formatCode>
                <c:ptCount val="1"/>
              </c:numCache>
            </c:numRef>
          </c:yVal>
          <c:smooth val="0"/>
          <c:extLst>
            <c:ext xmlns:c16="http://schemas.microsoft.com/office/drawing/2014/chart" uri="{C3380CC4-5D6E-409C-BE32-E72D297353CC}">
              <c16:uniqueId val="{00000003-738A-DC4F-95BB-C4370CCB3106}"/>
            </c:ext>
          </c:extLst>
        </c:ser>
        <c:ser>
          <c:idx val="4"/>
          <c:order val="4"/>
          <c:tx>
            <c:v>Contract-Vendor matcher</c:v>
          </c:tx>
          <c:spPr>
            <a:ln w="25400" cap="rnd">
              <a:noFill/>
              <a:round/>
            </a:ln>
            <a:effectLst/>
          </c:spPr>
          <c:marker>
            <c:symbol val="circle"/>
            <c:size val="10"/>
            <c:spPr>
              <a:solidFill>
                <a:schemeClr val="accent5"/>
              </a:solidFill>
              <a:ln w="9525">
                <a:solidFill>
                  <a:schemeClr val="accent5"/>
                </a:solidFill>
              </a:ln>
              <a:effectLst/>
            </c:spPr>
          </c:marker>
          <c:xVal>
            <c:numRef>
              <c:f>'AtliQ Contract Analyzer'!$F$6</c:f>
              <c:numCache>
                <c:formatCode>General</c:formatCode>
                <c:ptCount val="1"/>
                <c:pt idx="0">
                  <c:v>#N/A</c:v>
                </c:pt>
              </c:numCache>
            </c:numRef>
          </c:xVal>
          <c:yVal>
            <c:numRef>
              <c:f>'AtliQ Contract Analyzer'!$G$6</c:f>
              <c:numCache>
                <c:formatCode>General</c:formatCode>
                <c:ptCount val="1"/>
              </c:numCache>
            </c:numRef>
          </c:yVal>
          <c:smooth val="0"/>
          <c:extLst>
            <c:ext xmlns:c16="http://schemas.microsoft.com/office/drawing/2014/chart" uri="{C3380CC4-5D6E-409C-BE32-E72D297353CC}">
              <c16:uniqueId val="{00000004-738A-DC4F-95BB-C4370CCB3106}"/>
            </c:ext>
          </c:extLst>
        </c:ser>
        <c:ser>
          <c:idx val="5"/>
          <c:order val="5"/>
          <c:tx>
            <c:v>Trinsic AI</c:v>
          </c:tx>
          <c:spPr>
            <a:ln w="25400" cap="rnd">
              <a:noFill/>
              <a:round/>
            </a:ln>
            <a:effectLst/>
          </c:spPr>
          <c:marker>
            <c:symbol val="circle"/>
            <c:size val="10"/>
            <c:spPr>
              <a:solidFill>
                <a:schemeClr val="accent6"/>
              </a:solidFill>
              <a:ln w="9525">
                <a:solidFill>
                  <a:schemeClr val="accent6"/>
                </a:solidFill>
              </a:ln>
              <a:effectLst/>
            </c:spPr>
          </c:marker>
          <c:xVal>
            <c:numRef>
              <c:f>'AtliQ Contract Analyzer'!$F$7</c:f>
              <c:numCache>
                <c:formatCode>General</c:formatCode>
                <c:ptCount val="1"/>
                <c:pt idx="0">
                  <c:v>#N/A</c:v>
                </c:pt>
              </c:numCache>
            </c:numRef>
          </c:xVal>
          <c:yVal>
            <c:numRef>
              <c:f>'AtliQ Contract Analyzer'!$G$7</c:f>
              <c:numCache>
                <c:formatCode>General</c:formatCode>
                <c:ptCount val="1"/>
              </c:numCache>
            </c:numRef>
          </c:yVal>
          <c:smooth val="0"/>
          <c:extLst>
            <c:ext xmlns:c16="http://schemas.microsoft.com/office/drawing/2014/chart" uri="{C3380CC4-5D6E-409C-BE32-E72D297353CC}">
              <c16:uniqueId val="{00000005-738A-DC4F-95BB-C4370CCB3106}"/>
            </c:ext>
          </c:extLst>
        </c:ser>
        <c:ser>
          <c:idx val="6"/>
          <c:order val="6"/>
          <c:tx>
            <c:v>(empty row 8)</c:v>
          </c:tx>
          <c:spPr>
            <a:ln w="25400" cap="rnd">
              <a:noFill/>
              <a:round/>
            </a:ln>
            <a:effectLst/>
          </c:spPr>
          <c:marker>
            <c:symbol val="circle"/>
            <c:size val="10"/>
            <c:spPr>
              <a:solidFill>
                <a:schemeClr val="accent1">
                  <a:lumMod val="60000"/>
                </a:schemeClr>
              </a:solidFill>
              <a:ln w="9525">
                <a:solidFill>
                  <a:schemeClr val="accent1">
                    <a:lumMod val="60000"/>
                  </a:schemeClr>
                </a:solidFill>
              </a:ln>
              <a:effectLst/>
            </c:spPr>
          </c:marker>
          <c:xVal>
            <c:numRef>
              <c:f>'AtliQ Contract Analyzer'!$F$8</c:f>
              <c:numCache>
                <c:formatCode>General</c:formatCode>
                <c:ptCount val="1"/>
                <c:pt idx="0">
                  <c:v>#N/A</c:v>
                </c:pt>
              </c:numCache>
            </c:numRef>
          </c:xVal>
          <c:yVal>
            <c:numRef>
              <c:f>'AtliQ Contract Analyzer'!$G$8</c:f>
              <c:numCache>
                <c:formatCode>General</c:formatCode>
                <c:ptCount val="1"/>
              </c:numCache>
            </c:numRef>
          </c:yVal>
          <c:smooth val="0"/>
          <c:extLst>
            <c:ext xmlns:c16="http://schemas.microsoft.com/office/drawing/2014/chart" uri="{C3380CC4-5D6E-409C-BE32-E72D297353CC}">
              <c16:uniqueId val="{00000006-738A-DC4F-95BB-C4370CCB3106}"/>
            </c:ext>
          </c:extLst>
        </c:ser>
        <c:ser>
          <c:idx val="13"/>
          <c:order val="7"/>
          <c:tx>
            <c:v>(empty row 9)</c:v>
          </c:tx>
          <c:spPr>
            <a:ln w="25400" cap="rnd">
              <a:noFill/>
              <a:round/>
            </a:ln>
            <a:effectLst/>
          </c:spPr>
          <c:marker>
            <c:symbol val="circle"/>
            <c:size val="10"/>
            <c:spPr>
              <a:solidFill>
                <a:schemeClr val="accent2">
                  <a:lumMod val="80000"/>
                  <a:lumOff val="20000"/>
                </a:schemeClr>
              </a:solidFill>
              <a:ln w="9525">
                <a:solidFill>
                  <a:schemeClr val="accent2">
                    <a:lumMod val="80000"/>
                    <a:lumOff val="20000"/>
                  </a:schemeClr>
                </a:solidFill>
              </a:ln>
              <a:effectLst/>
            </c:spPr>
          </c:marker>
          <c:xVal>
            <c:numRef>
              <c:f>'AtliQ Contract Analyzer'!$F$9</c:f>
              <c:numCache>
                <c:formatCode>General</c:formatCode>
                <c:ptCount val="1"/>
                <c:pt idx="0">
                  <c:v>#N/A</c:v>
                </c:pt>
              </c:numCache>
            </c:numRef>
          </c:xVal>
          <c:yVal>
            <c:numRef>
              <c:f>'AtliQ Contract Analyzer'!$G$9</c:f>
              <c:numCache>
                <c:formatCode>General</c:formatCode>
                <c:ptCount val="1"/>
              </c:numCache>
            </c:numRef>
          </c:yVal>
          <c:smooth val="0"/>
          <c:extLst>
            <c:ext xmlns:c16="http://schemas.microsoft.com/office/drawing/2014/chart" uri="{C3380CC4-5D6E-409C-BE32-E72D297353CC}">
              <c16:uniqueId val="{00000007-738A-DC4F-95BB-C4370CCB3106}"/>
            </c:ext>
          </c:extLst>
        </c:ser>
        <c:ser>
          <c:idx val="7"/>
          <c:order val="8"/>
          <c:tx>
            <c:v>Feasibility threshold</c:v>
          </c:tx>
          <c:spPr>
            <a:ln w="19050" cap="rnd">
              <a:solidFill>
                <a:srgbClr val="BFBFBF"/>
              </a:solidFill>
              <a:prstDash val="solid"/>
              <a:round/>
            </a:ln>
            <a:effectLst/>
          </c:spPr>
          <c:marker>
            <c:symbol val="none"/>
          </c:marker>
          <c:xVal>
            <c:numRef>
              <c:f>'AtliQ Contract Analyzer'!$J$3:$J$4</c:f>
              <c:numCache>
                <c:formatCode>General</c:formatCode>
                <c:ptCount val="2"/>
                <c:pt idx="0">
                  <c:v>5</c:v>
                </c:pt>
                <c:pt idx="1">
                  <c:v>5</c:v>
                </c:pt>
              </c:numCache>
            </c:numRef>
          </c:xVal>
          <c:yVal>
            <c:numRef>
              <c:f>'AtliQ Contract Analyzer'!$K$3:$K$4</c:f>
              <c:numCache>
                <c:formatCode>General</c:formatCode>
                <c:ptCount val="2"/>
                <c:pt idx="0">
                  <c:v>0</c:v>
                </c:pt>
                <c:pt idx="1">
                  <c:v>10</c:v>
                </c:pt>
              </c:numCache>
            </c:numRef>
          </c:yVal>
          <c:smooth val="0"/>
          <c:extLst>
            <c:ext xmlns:c16="http://schemas.microsoft.com/office/drawing/2014/chart" uri="{C3380CC4-5D6E-409C-BE32-E72D297353CC}">
              <c16:uniqueId val="{00000008-738A-DC4F-95BB-C4370CCB3106}"/>
            </c:ext>
          </c:extLst>
        </c:ser>
        <c:ser>
          <c:idx val="8"/>
          <c:order val="9"/>
          <c:tx>
            <c:v>Impact threshold</c:v>
          </c:tx>
          <c:spPr>
            <a:ln w="19050" cap="rnd">
              <a:solidFill>
                <a:srgbClr val="BFBFBF"/>
              </a:solidFill>
              <a:prstDash val="solid"/>
              <a:round/>
            </a:ln>
            <a:effectLst/>
          </c:spPr>
          <c:marker>
            <c:symbol val="none"/>
          </c:marker>
          <c:xVal>
            <c:numRef>
              <c:f>'AtliQ Contract Analyzer'!$L$3:$L$4</c:f>
              <c:numCache>
                <c:formatCode>General</c:formatCode>
                <c:ptCount val="2"/>
                <c:pt idx="0">
                  <c:v>0</c:v>
                </c:pt>
                <c:pt idx="1">
                  <c:v>10</c:v>
                </c:pt>
              </c:numCache>
            </c:numRef>
          </c:xVal>
          <c:yVal>
            <c:numRef>
              <c:f>'AtliQ Contract Analyzer'!$M$3:$M$4</c:f>
              <c:numCache>
                <c:formatCode>General</c:formatCode>
                <c:ptCount val="2"/>
                <c:pt idx="0">
                  <c:v>5</c:v>
                </c:pt>
                <c:pt idx="1">
                  <c:v>5</c:v>
                </c:pt>
              </c:numCache>
            </c:numRef>
          </c:yVal>
          <c:smooth val="0"/>
          <c:extLst>
            <c:ext xmlns:c16="http://schemas.microsoft.com/office/drawing/2014/chart" uri="{C3380CC4-5D6E-409C-BE32-E72D297353CC}">
              <c16:uniqueId val="{00000009-738A-DC4F-95BB-C4370CCB3106}"/>
            </c:ext>
          </c:extLst>
        </c:ser>
        <c:ser>
          <c:idx val="9"/>
          <c:order val="10"/>
          <c:tx>
            <c:v>Quick Wins</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Contract Analyzer'!$K$10</c:f>
              <c:numCache>
                <c:formatCode>General</c:formatCode>
                <c:ptCount val="1"/>
                <c:pt idx="0">
                  <c:v>7.5</c:v>
                </c:pt>
              </c:numCache>
            </c:numRef>
          </c:xVal>
          <c:yVal>
            <c:numRef>
              <c:f>'AtliQ Contract Analyzer'!$L$10</c:f>
              <c:numCache>
                <c:formatCode>General</c:formatCode>
                <c:ptCount val="1"/>
                <c:pt idx="0">
                  <c:v>7.5</c:v>
                </c:pt>
              </c:numCache>
            </c:numRef>
          </c:yVal>
          <c:smooth val="0"/>
          <c:extLst>
            <c:ext xmlns:c16="http://schemas.microsoft.com/office/drawing/2014/chart" uri="{C3380CC4-5D6E-409C-BE32-E72D297353CC}">
              <c16:uniqueId val="{0000000A-738A-DC4F-95BB-C4370CCB3106}"/>
            </c:ext>
          </c:extLst>
        </c:ser>
        <c:ser>
          <c:idx val="10"/>
          <c:order val="11"/>
          <c:tx>
            <c:v>Big Bets</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Contract Analyzer'!$K$11</c:f>
              <c:numCache>
                <c:formatCode>General</c:formatCode>
                <c:ptCount val="1"/>
                <c:pt idx="0">
                  <c:v>2.5</c:v>
                </c:pt>
              </c:numCache>
            </c:numRef>
          </c:xVal>
          <c:yVal>
            <c:numRef>
              <c:f>'AtliQ Contract Analyzer'!$L$11</c:f>
              <c:numCache>
                <c:formatCode>General</c:formatCode>
                <c:ptCount val="1"/>
                <c:pt idx="0">
                  <c:v>7.5</c:v>
                </c:pt>
              </c:numCache>
            </c:numRef>
          </c:yVal>
          <c:smooth val="0"/>
          <c:extLst>
            <c:ext xmlns:c16="http://schemas.microsoft.com/office/drawing/2014/chart" uri="{C3380CC4-5D6E-409C-BE32-E72D297353CC}">
              <c16:uniqueId val="{0000000B-738A-DC4F-95BB-C4370CCB3106}"/>
            </c:ext>
          </c:extLst>
        </c:ser>
        <c:ser>
          <c:idx val="11"/>
          <c:order val="12"/>
          <c:tx>
            <c:v>Fill-Ins</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Contract Analyzer'!$K$12</c:f>
              <c:numCache>
                <c:formatCode>General</c:formatCode>
                <c:ptCount val="1"/>
                <c:pt idx="0">
                  <c:v>7.5</c:v>
                </c:pt>
              </c:numCache>
            </c:numRef>
          </c:xVal>
          <c:yVal>
            <c:numRef>
              <c:f>'AtliQ Contract Analyzer'!$L$12</c:f>
              <c:numCache>
                <c:formatCode>General</c:formatCode>
                <c:ptCount val="1"/>
                <c:pt idx="0">
                  <c:v>2.5</c:v>
                </c:pt>
              </c:numCache>
            </c:numRef>
          </c:yVal>
          <c:smooth val="0"/>
          <c:extLst>
            <c:ext xmlns:c16="http://schemas.microsoft.com/office/drawing/2014/chart" uri="{C3380CC4-5D6E-409C-BE32-E72D297353CC}">
              <c16:uniqueId val="{0000000C-738A-DC4F-95BB-C4370CCB3106}"/>
            </c:ext>
          </c:extLst>
        </c:ser>
        <c:ser>
          <c:idx val="12"/>
          <c:order val="13"/>
          <c:tx>
            <c:v>Deprioritize</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Contract Analyzer'!$K$13</c:f>
              <c:numCache>
                <c:formatCode>General</c:formatCode>
                <c:ptCount val="1"/>
                <c:pt idx="0">
                  <c:v>2.5</c:v>
                </c:pt>
              </c:numCache>
            </c:numRef>
          </c:xVal>
          <c:yVal>
            <c:numRef>
              <c:f>'AtliQ Contract Analyzer'!$L$13</c:f>
              <c:numCache>
                <c:formatCode>General</c:formatCode>
                <c:ptCount val="1"/>
                <c:pt idx="0">
                  <c:v>2.5</c:v>
                </c:pt>
              </c:numCache>
            </c:numRef>
          </c:yVal>
          <c:smooth val="0"/>
          <c:extLst>
            <c:ext xmlns:c16="http://schemas.microsoft.com/office/drawing/2014/chart" uri="{C3380CC4-5D6E-409C-BE32-E72D297353CC}">
              <c16:uniqueId val="{0000000D-738A-DC4F-95BB-C4370CCB3106}"/>
            </c:ext>
          </c:extLst>
        </c:ser>
        <c:dLbls>
          <c:showLegendKey val="0"/>
          <c:showVal val="0"/>
          <c:showCatName val="0"/>
          <c:showSerName val="0"/>
          <c:showPercent val="0"/>
          <c:showBubbleSize val="0"/>
        </c:dLbls>
        <c:axId val="479729791"/>
        <c:axId val="431144255"/>
      </c:scatterChart>
      <c:valAx>
        <c:axId val="479729791"/>
        <c:scaling>
          <c:orientation val="minMax"/>
          <c:max val="1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Feasibility (avg of Data, Implementation &amp; Adoption)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1144255"/>
        <c:crosses val="autoZero"/>
        <c:crossBetween val="midCat"/>
        <c:majorUnit val="2"/>
      </c:valAx>
      <c:valAx>
        <c:axId val="431144255"/>
        <c:scaling>
          <c:orientation val="minMax"/>
          <c:max val="1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Impact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729791"/>
        <c:crosses val="autoZero"/>
        <c:crossBetween val="midCat"/>
        <c:majorUnit val="2"/>
      </c:valAx>
      <c:spPr>
        <a:noFill/>
        <a:ln>
          <a:noFill/>
        </a:ln>
        <a:effectLst/>
      </c:spPr>
    </c:plotArea>
    <c:legend>
      <c:legendPos val="r"/>
      <c:legendEntry>
        <c:idx val="6"/>
        <c:delete val="1"/>
      </c:legendEntry>
      <c:legendEntry>
        <c:idx val="7"/>
        <c:delete val="1"/>
      </c:legendEntry>
      <c:legendEntry>
        <c:idx val="8"/>
        <c:delete val="1"/>
      </c:legendEntry>
      <c:legendEntry>
        <c:idx val="9"/>
        <c:delete val="1"/>
      </c:legendEntry>
      <c:legendEntry>
        <c:idx val="10"/>
        <c:delete val="1"/>
      </c:legendEntry>
      <c:legendEntry>
        <c:idx val="11"/>
        <c:delete val="1"/>
      </c:legendEntry>
      <c:legendEntry>
        <c:idx val="12"/>
        <c:delete val="1"/>
      </c:legendEntry>
      <c:legendEntry>
        <c:idx val="13"/>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r>
              <a:rPr lang="en-US"/>
              <a:t>Feasibility vs Impact</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95959"/>
              </a:solidFill>
              <a:latin typeface="+mn-lt"/>
              <a:ea typeface="+mn-ea"/>
              <a:cs typeface="+mn-cs"/>
            </a:defRPr>
          </a:pPr>
          <a:endParaRPr lang="en-US"/>
        </a:p>
      </c:txPr>
    </c:title>
    <c:autoTitleDeleted val="0"/>
    <c:plotArea>
      <c:layout/>
      <c:scatterChart>
        <c:scatterStyle val="lineMarker"/>
        <c:varyColors val="0"/>
        <c:ser>
          <c:idx val="0"/>
          <c:order val="0"/>
          <c:tx>
            <c:strRef>
              <c:f>'AtliQ Contract Analyzer'!$K$16</c:f>
              <c:strCache>
                <c:ptCount val="1"/>
              </c:strCache>
            </c:strRef>
          </c:tx>
          <c:spPr>
            <a:ln w="25400" cap="rnd">
              <a:noFill/>
              <a:round/>
            </a:ln>
            <a:effectLst/>
          </c:spPr>
          <c:marker>
            <c:symbol val="circle"/>
            <c:size val="10"/>
            <c:spPr>
              <a:solidFill>
                <a:srgbClr val="156082"/>
              </a:solidFill>
              <a:ln w="9525">
                <a:solidFill>
                  <a:srgbClr val="156082"/>
                </a:solidFill>
                <a:prstDash val="solid"/>
              </a:ln>
              <a:effectLst/>
            </c:spPr>
          </c:marker>
          <c:xVal>
            <c:numRef>
              <c:f>'AtliQ Contract Analyzer'!$F$2</c:f>
              <c:numCache>
                <c:formatCode>General</c:formatCode>
                <c:ptCount val="1"/>
                <c:pt idx="0">
                  <c:v>#N/A</c:v>
                </c:pt>
              </c:numCache>
            </c:numRef>
          </c:xVal>
          <c:yVal>
            <c:numRef>
              <c:f>'AtliQ Contract Analyzer'!$G$2</c:f>
              <c:numCache>
                <c:formatCode>General</c:formatCode>
                <c:ptCount val="1"/>
              </c:numCache>
            </c:numRef>
          </c:yVal>
          <c:smooth val="0"/>
          <c:extLst>
            <c:ext xmlns:c16="http://schemas.microsoft.com/office/drawing/2014/chart" uri="{C3380CC4-5D6E-409C-BE32-E72D297353CC}">
              <c16:uniqueId val="{00000000-3CB1-7146-A272-36FB2ED4ADBC}"/>
            </c:ext>
          </c:extLst>
        </c:ser>
        <c:ser>
          <c:idx val="1"/>
          <c:order val="1"/>
          <c:tx>
            <c:strRef>
              <c:f>'AtliQ Contract Analyzer'!$L$16</c:f>
              <c:strCache>
                <c:ptCount val="1"/>
              </c:strCache>
            </c:strRef>
          </c:tx>
          <c:spPr>
            <a:ln w="25400" cap="rnd">
              <a:noFill/>
              <a:round/>
            </a:ln>
            <a:effectLst/>
          </c:spPr>
          <c:marker>
            <c:symbol val="circle"/>
            <c:size val="10"/>
            <c:spPr>
              <a:solidFill>
                <a:srgbClr val="E97132"/>
              </a:solidFill>
              <a:ln w="9525">
                <a:solidFill>
                  <a:srgbClr val="E97132"/>
                </a:solidFill>
                <a:prstDash val="solid"/>
              </a:ln>
              <a:effectLst/>
            </c:spPr>
          </c:marker>
          <c:xVal>
            <c:numRef>
              <c:f>'AtliQ Contract Analyzer'!$F$3</c:f>
              <c:numCache>
                <c:formatCode>General</c:formatCode>
                <c:ptCount val="1"/>
                <c:pt idx="0">
                  <c:v>#N/A</c:v>
                </c:pt>
              </c:numCache>
            </c:numRef>
          </c:xVal>
          <c:yVal>
            <c:numRef>
              <c:f>'AtliQ Contract Analyzer'!$G$3</c:f>
              <c:numCache>
                <c:formatCode>General</c:formatCode>
                <c:ptCount val="1"/>
              </c:numCache>
            </c:numRef>
          </c:yVal>
          <c:smooth val="0"/>
          <c:extLst>
            <c:ext xmlns:c16="http://schemas.microsoft.com/office/drawing/2014/chart" uri="{C3380CC4-5D6E-409C-BE32-E72D297353CC}">
              <c16:uniqueId val="{00000001-3CB1-7146-A272-36FB2ED4ADBC}"/>
            </c:ext>
          </c:extLst>
        </c:ser>
        <c:ser>
          <c:idx val="2"/>
          <c:order val="2"/>
          <c:tx>
            <c:strRef>
              <c:f>'AtliQ Contract Analyzer'!$M$16</c:f>
              <c:strCache>
                <c:ptCount val="1"/>
              </c:strCache>
            </c:strRef>
          </c:tx>
          <c:spPr>
            <a:ln w="25400" cap="rnd">
              <a:noFill/>
              <a:round/>
            </a:ln>
            <a:effectLst/>
          </c:spPr>
          <c:marker>
            <c:symbol val="circle"/>
            <c:size val="10"/>
            <c:spPr>
              <a:solidFill>
                <a:srgbClr val="196B24"/>
              </a:solidFill>
              <a:ln w="9525">
                <a:solidFill>
                  <a:srgbClr val="196B24"/>
                </a:solidFill>
                <a:prstDash val="solid"/>
              </a:ln>
              <a:effectLst/>
            </c:spPr>
          </c:marker>
          <c:xVal>
            <c:numRef>
              <c:f>'AtliQ Contract Analyzer'!$F$4</c:f>
              <c:numCache>
                <c:formatCode>General</c:formatCode>
                <c:ptCount val="1"/>
                <c:pt idx="0">
                  <c:v>#N/A</c:v>
                </c:pt>
              </c:numCache>
            </c:numRef>
          </c:xVal>
          <c:yVal>
            <c:numRef>
              <c:f>'AtliQ Contract Analyzer'!$G$4</c:f>
              <c:numCache>
                <c:formatCode>General</c:formatCode>
                <c:ptCount val="1"/>
              </c:numCache>
            </c:numRef>
          </c:yVal>
          <c:smooth val="0"/>
          <c:extLst>
            <c:ext xmlns:c16="http://schemas.microsoft.com/office/drawing/2014/chart" uri="{C3380CC4-5D6E-409C-BE32-E72D297353CC}">
              <c16:uniqueId val="{00000002-3CB1-7146-A272-36FB2ED4ADBC}"/>
            </c:ext>
          </c:extLst>
        </c:ser>
        <c:ser>
          <c:idx val="3"/>
          <c:order val="3"/>
          <c:tx>
            <c:strRef>
              <c:f>'AtliQ Contract Analyzer'!$N$16</c:f>
              <c:strCache>
                <c:ptCount val="1"/>
              </c:strCache>
            </c:strRef>
          </c:tx>
          <c:spPr>
            <a:ln w="25400" cap="rnd">
              <a:noFill/>
              <a:round/>
            </a:ln>
            <a:effectLst/>
          </c:spPr>
          <c:marker>
            <c:symbol val="circle"/>
            <c:size val="10"/>
            <c:spPr>
              <a:solidFill>
                <a:srgbClr val="0F9ED5"/>
              </a:solidFill>
              <a:ln w="9525">
                <a:solidFill>
                  <a:srgbClr val="0F9ED5"/>
                </a:solidFill>
                <a:prstDash val="solid"/>
              </a:ln>
              <a:effectLst/>
            </c:spPr>
          </c:marker>
          <c:xVal>
            <c:numRef>
              <c:f>'AtliQ Contract Analyzer'!$F$5</c:f>
              <c:numCache>
                <c:formatCode>General</c:formatCode>
                <c:ptCount val="1"/>
                <c:pt idx="0">
                  <c:v>#N/A</c:v>
                </c:pt>
              </c:numCache>
            </c:numRef>
          </c:xVal>
          <c:yVal>
            <c:numRef>
              <c:f>'AtliQ Contract Analyzer'!$G$5</c:f>
              <c:numCache>
                <c:formatCode>General</c:formatCode>
                <c:ptCount val="1"/>
              </c:numCache>
            </c:numRef>
          </c:yVal>
          <c:smooth val="0"/>
          <c:extLst>
            <c:ext xmlns:c16="http://schemas.microsoft.com/office/drawing/2014/chart" uri="{C3380CC4-5D6E-409C-BE32-E72D297353CC}">
              <c16:uniqueId val="{00000003-3CB1-7146-A272-36FB2ED4ADBC}"/>
            </c:ext>
          </c:extLst>
        </c:ser>
        <c:ser>
          <c:idx val="4"/>
          <c:order val="4"/>
          <c:tx>
            <c:strRef>
              <c:f>'AtliQ Contract Analyzer'!$O$16</c:f>
              <c:strCache>
                <c:ptCount val="1"/>
              </c:strCache>
            </c:strRef>
          </c:tx>
          <c:spPr>
            <a:ln w="25400" cap="rnd">
              <a:noFill/>
              <a:round/>
            </a:ln>
            <a:effectLst/>
          </c:spPr>
          <c:marker>
            <c:symbol val="circle"/>
            <c:size val="10"/>
            <c:spPr>
              <a:solidFill>
                <a:srgbClr val="A02B93"/>
              </a:solidFill>
              <a:ln w="9525">
                <a:solidFill>
                  <a:srgbClr val="A02B93"/>
                </a:solidFill>
                <a:prstDash val="solid"/>
              </a:ln>
              <a:effectLst/>
            </c:spPr>
          </c:marker>
          <c:xVal>
            <c:numRef>
              <c:f>'AtliQ Contract Analyzer'!$F$6</c:f>
              <c:numCache>
                <c:formatCode>General</c:formatCode>
                <c:ptCount val="1"/>
                <c:pt idx="0">
                  <c:v>#N/A</c:v>
                </c:pt>
              </c:numCache>
            </c:numRef>
          </c:xVal>
          <c:yVal>
            <c:numRef>
              <c:f>'AtliQ Contract Analyzer'!$G$6</c:f>
              <c:numCache>
                <c:formatCode>General</c:formatCode>
                <c:ptCount val="1"/>
              </c:numCache>
            </c:numRef>
          </c:yVal>
          <c:smooth val="0"/>
          <c:extLst>
            <c:ext xmlns:c16="http://schemas.microsoft.com/office/drawing/2014/chart" uri="{C3380CC4-5D6E-409C-BE32-E72D297353CC}">
              <c16:uniqueId val="{00000004-3CB1-7146-A272-36FB2ED4ADBC}"/>
            </c:ext>
          </c:extLst>
        </c:ser>
        <c:ser>
          <c:idx val="5"/>
          <c:order val="5"/>
          <c:tx>
            <c:strRef>
              <c:f>'AtliQ Contract Analyzer'!$P$16</c:f>
              <c:strCache>
                <c:ptCount val="1"/>
              </c:strCache>
            </c:strRef>
          </c:tx>
          <c:spPr>
            <a:ln w="25400" cap="rnd">
              <a:noFill/>
              <a:round/>
            </a:ln>
            <a:effectLst/>
          </c:spPr>
          <c:marker>
            <c:symbol val="circle"/>
            <c:size val="10"/>
            <c:spPr>
              <a:solidFill>
                <a:srgbClr val="4EA72E"/>
              </a:solidFill>
              <a:ln w="9525">
                <a:solidFill>
                  <a:srgbClr val="4EA72E"/>
                </a:solidFill>
                <a:prstDash val="solid"/>
              </a:ln>
              <a:effectLst/>
            </c:spPr>
          </c:marker>
          <c:xVal>
            <c:numRef>
              <c:f>'AtliQ Contract Analyzer'!$F$7</c:f>
              <c:numCache>
                <c:formatCode>General</c:formatCode>
                <c:ptCount val="1"/>
                <c:pt idx="0">
                  <c:v>#N/A</c:v>
                </c:pt>
              </c:numCache>
            </c:numRef>
          </c:xVal>
          <c:yVal>
            <c:numRef>
              <c:f>'AtliQ Contract Analyzer'!$G$7</c:f>
              <c:numCache>
                <c:formatCode>General</c:formatCode>
                <c:ptCount val="1"/>
              </c:numCache>
            </c:numRef>
          </c:yVal>
          <c:smooth val="0"/>
          <c:extLst>
            <c:ext xmlns:c16="http://schemas.microsoft.com/office/drawing/2014/chart" uri="{C3380CC4-5D6E-409C-BE32-E72D297353CC}">
              <c16:uniqueId val="{00000005-3CB1-7146-A272-36FB2ED4ADBC}"/>
            </c:ext>
          </c:extLst>
        </c:ser>
        <c:ser>
          <c:idx val="6"/>
          <c:order val="6"/>
          <c:tx>
            <c:strRef>
              <c:f>'AtliQ Contract Analyzer'!$Q$16</c:f>
              <c:strCache>
                <c:ptCount val="1"/>
              </c:strCache>
            </c:strRef>
          </c:tx>
          <c:spPr>
            <a:ln w="25400" cap="rnd">
              <a:noFill/>
              <a:round/>
            </a:ln>
            <a:effectLst/>
          </c:spPr>
          <c:marker>
            <c:symbol val="circle"/>
            <c:size val="10"/>
            <c:spPr>
              <a:solidFill>
                <a:srgbClr val="0D3A4E"/>
              </a:solidFill>
              <a:ln w="9525">
                <a:solidFill>
                  <a:srgbClr val="0D3A4E"/>
                </a:solidFill>
                <a:prstDash val="solid"/>
              </a:ln>
              <a:effectLst/>
            </c:spPr>
          </c:marker>
          <c:xVal>
            <c:numRef>
              <c:f>'AtliQ Contract Analyzer'!$F$8</c:f>
              <c:numCache>
                <c:formatCode>General</c:formatCode>
                <c:ptCount val="1"/>
                <c:pt idx="0">
                  <c:v>#N/A</c:v>
                </c:pt>
              </c:numCache>
            </c:numRef>
          </c:xVal>
          <c:yVal>
            <c:numRef>
              <c:f>'AtliQ Contract Analyzer'!$G$8</c:f>
              <c:numCache>
                <c:formatCode>General</c:formatCode>
                <c:ptCount val="1"/>
              </c:numCache>
            </c:numRef>
          </c:yVal>
          <c:smooth val="0"/>
          <c:extLst>
            <c:ext xmlns:c16="http://schemas.microsoft.com/office/drawing/2014/chart" uri="{C3380CC4-5D6E-409C-BE32-E72D297353CC}">
              <c16:uniqueId val="{00000006-3CB1-7146-A272-36FB2ED4ADBC}"/>
            </c:ext>
          </c:extLst>
        </c:ser>
        <c:ser>
          <c:idx val="7"/>
          <c:order val="7"/>
          <c:tx>
            <c:strRef>
              <c:f>'AtliQ Contract Analyzer'!$R$16</c:f>
              <c:strCache>
                <c:ptCount val="1"/>
              </c:strCache>
            </c:strRef>
          </c:tx>
          <c:spPr>
            <a:ln w="25400" cap="rnd">
              <a:noFill/>
              <a:round/>
            </a:ln>
            <a:effectLst/>
          </c:spPr>
          <c:marker>
            <c:symbol val="circle"/>
            <c:size val="10"/>
            <c:spPr>
              <a:solidFill>
                <a:srgbClr val="ED8D5B"/>
              </a:solidFill>
              <a:ln w="9525">
                <a:solidFill>
                  <a:srgbClr val="ED8D5B"/>
                </a:solidFill>
                <a:prstDash val="solid"/>
              </a:ln>
              <a:effectLst/>
            </c:spPr>
          </c:marker>
          <c:xVal>
            <c:numRef>
              <c:f>'AtliQ Contract Analyzer'!$F$9</c:f>
              <c:numCache>
                <c:formatCode>General</c:formatCode>
                <c:ptCount val="1"/>
                <c:pt idx="0">
                  <c:v>#N/A</c:v>
                </c:pt>
              </c:numCache>
            </c:numRef>
          </c:xVal>
          <c:yVal>
            <c:numRef>
              <c:f>'AtliQ Contract Analyzer'!$G$9</c:f>
              <c:numCache>
                <c:formatCode>General</c:formatCode>
                <c:ptCount val="1"/>
              </c:numCache>
            </c:numRef>
          </c:yVal>
          <c:smooth val="0"/>
          <c:extLst>
            <c:ext xmlns:c16="http://schemas.microsoft.com/office/drawing/2014/chart" uri="{C3380CC4-5D6E-409C-BE32-E72D297353CC}">
              <c16:uniqueId val="{00000007-3CB1-7146-A272-36FB2ED4ADBC}"/>
            </c:ext>
          </c:extLst>
        </c:ser>
        <c:ser>
          <c:idx val="8"/>
          <c:order val="8"/>
          <c:tx>
            <c:v>Feasibility threshold</c:v>
          </c:tx>
          <c:spPr>
            <a:ln w="19050" cap="rnd">
              <a:solidFill>
                <a:srgbClr val="BFBFBF"/>
              </a:solidFill>
              <a:prstDash val="solid"/>
              <a:round/>
            </a:ln>
            <a:effectLst/>
          </c:spPr>
          <c:marker>
            <c:symbol val="none"/>
          </c:marker>
          <c:xVal>
            <c:numRef>
              <c:f>'AtliQ Contract Analyzer'!$J$3:$J$4</c:f>
              <c:numCache>
                <c:formatCode>General</c:formatCode>
                <c:ptCount val="2"/>
                <c:pt idx="0">
                  <c:v>5</c:v>
                </c:pt>
                <c:pt idx="1">
                  <c:v>5</c:v>
                </c:pt>
              </c:numCache>
            </c:numRef>
          </c:xVal>
          <c:yVal>
            <c:numRef>
              <c:f>'AtliQ Contract Analyzer'!$K$3:$K$4</c:f>
              <c:numCache>
                <c:formatCode>General</c:formatCode>
                <c:ptCount val="2"/>
                <c:pt idx="0">
                  <c:v>0</c:v>
                </c:pt>
                <c:pt idx="1">
                  <c:v>10</c:v>
                </c:pt>
              </c:numCache>
            </c:numRef>
          </c:yVal>
          <c:smooth val="0"/>
          <c:extLst>
            <c:ext xmlns:c16="http://schemas.microsoft.com/office/drawing/2014/chart" uri="{C3380CC4-5D6E-409C-BE32-E72D297353CC}">
              <c16:uniqueId val="{00000008-3CB1-7146-A272-36FB2ED4ADBC}"/>
            </c:ext>
          </c:extLst>
        </c:ser>
        <c:ser>
          <c:idx val="9"/>
          <c:order val="9"/>
          <c:tx>
            <c:v>Impact threshold</c:v>
          </c:tx>
          <c:spPr>
            <a:ln w="19050" cap="rnd">
              <a:solidFill>
                <a:srgbClr val="BFBFBF"/>
              </a:solidFill>
              <a:prstDash val="solid"/>
              <a:round/>
            </a:ln>
            <a:effectLst/>
          </c:spPr>
          <c:marker>
            <c:symbol val="none"/>
          </c:marker>
          <c:xVal>
            <c:numRef>
              <c:f>'AtliQ Contract Analyzer'!$L$3:$L$4</c:f>
              <c:numCache>
                <c:formatCode>General</c:formatCode>
                <c:ptCount val="2"/>
                <c:pt idx="0">
                  <c:v>0</c:v>
                </c:pt>
                <c:pt idx="1">
                  <c:v>10</c:v>
                </c:pt>
              </c:numCache>
            </c:numRef>
          </c:xVal>
          <c:yVal>
            <c:numRef>
              <c:f>'AtliQ Contract Analyzer'!$M$3:$M$4</c:f>
              <c:numCache>
                <c:formatCode>General</c:formatCode>
                <c:ptCount val="2"/>
                <c:pt idx="0">
                  <c:v>5</c:v>
                </c:pt>
                <c:pt idx="1">
                  <c:v>5</c:v>
                </c:pt>
              </c:numCache>
            </c:numRef>
          </c:yVal>
          <c:smooth val="0"/>
          <c:extLst>
            <c:ext xmlns:c16="http://schemas.microsoft.com/office/drawing/2014/chart" uri="{C3380CC4-5D6E-409C-BE32-E72D297353CC}">
              <c16:uniqueId val="{00000009-3CB1-7146-A272-36FB2ED4ADBC}"/>
            </c:ext>
          </c:extLst>
        </c:ser>
        <c:ser>
          <c:idx val="10"/>
          <c:order val="10"/>
          <c:tx>
            <c:v>Quick Wins</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Contract Analyzer'!$K$10</c:f>
              <c:numCache>
                <c:formatCode>General</c:formatCode>
                <c:ptCount val="1"/>
                <c:pt idx="0">
                  <c:v>7.5</c:v>
                </c:pt>
              </c:numCache>
            </c:numRef>
          </c:xVal>
          <c:yVal>
            <c:numRef>
              <c:f>'AtliQ Contract Analyzer'!$L$10</c:f>
              <c:numCache>
                <c:formatCode>General</c:formatCode>
                <c:ptCount val="1"/>
                <c:pt idx="0">
                  <c:v>7.5</c:v>
                </c:pt>
              </c:numCache>
            </c:numRef>
          </c:yVal>
          <c:smooth val="0"/>
          <c:extLst>
            <c:ext xmlns:c16="http://schemas.microsoft.com/office/drawing/2014/chart" uri="{C3380CC4-5D6E-409C-BE32-E72D297353CC}">
              <c16:uniqueId val="{0000000A-3CB1-7146-A272-36FB2ED4ADBC}"/>
            </c:ext>
          </c:extLst>
        </c:ser>
        <c:ser>
          <c:idx val="11"/>
          <c:order val="11"/>
          <c:tx>
            <c:v>Big Bets</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Contract Analyzer'!$K$11</c:f>
              <c:numCache>
                <c:formatCode>General</c:formatCode>
                <c:ptCount val="1"/>
                <c:pt idx="0">
                  <c:v>2.5</c:v>
                </c:pt>
              </c:numCache>
            </c:numRef>
          </c:xVal>
          <c:yVal>
            <c:numRef>
              <c:f>'AtliQ Contract Analyzer'!$L$11</c:f>
              <c:numCache>
                <c:formatCode>General</c:formatCode>
                <c:ptCount val="1"/>
                <c:pt idx="0">
                  <c:v>7.5</c:v>
                </c:pt>
              </c:numCache>
            </c:numRef>
          </c:yVal>
          <c:smooth val="0"/>
          <c:extLst>
            <c:ext xmlns:c16="http://schemas.microsoft.com/office/drawing/2014/chart" uri="{C3380CC4-5D6E-409C-BE32-E72D297353CC}">
              <c16:uniqueId val="{0000000B-3CB1-7146-A272-36FB2ED4ADBC}"/>
            </c:ext>
          </c:extLst>
        </c:ser>
        <c:ser>
          <c:idx val="12"/>
          <c:order val="12"/>
          <c:tx>
            <c:v>Fill-Ins</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Contract Analyzer'!$K$12</c:f>
              <c:numCache>
                <c:formatCode>General</c:formatCode>
                <c:ptCount val="1"/>
                <c:pt idx="0">
                  <c:v>7.5</c:v>
                </c:pt>
              </c:numCache>
            </c:numRef>
          </c:xVal>
          <c:yVal>
            <c:numRef>
              <c:f>'AtliQ Contract Analyzer'!$L$12</c:f>
              <c:numCache>
                <c:formatCode>General</c:formatCode>
                <c:ptCount val="1"/>
                <c:pt idx="0">
                  <c:v>2.5</c:v>
                </c:pt>
              </c:numCache>
            </c:numRef>
          </c:yVal>
          <c:smooth val="0"/>
          <c:extLst>
            <c:ext xmlns:c16="http://schemas.microsoft.com/office/drawing/2014/chart" uri="{C3380CC4-5D6E-409C-BE32-E72D297353CC}">
              <c16:uniqueId val="{0000000C-3CB1-7146-A272-36FB2ED4ADBC}"/>
            </c:ext>
          </c:extLst>
        </c:ser>
        <c:ser>
          <c:idx val="13"/>
          <c:order val="13"/>
          <c:tx>
            <c:v>Deprioritize</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808080"/>
                    </a:solidFill>
                    <a:latin typeface="+mn-lt"/>
                    <a:ea typeface="+mn-ea"/>
                    <a:cs typeface="+mn-cs"/>
                  </a:defRPr>
                </a:pPr>
                <a:endParaRPr lang="en-US"/>
              </a:p>
            </c:txPr>
            <c:dLblPos val="ct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'AtliQ Contract Analyzer'!$K$13</c:f>
              <c:numCache>
                <c:formatCode>General</c:formatCode>
                <c:ptCount val="1"/>
                <c:pt idx="0">
                  <c:v>2.5</c:v>
                </c:pt>
              </c:numCache>
            </c:numRef>
          </c:xVal>
          <c:yVal>
            <c:numRef>
              <c:f>'AtliQ Contract Analyzer'!$L$13</c:f>
              <c:numCache>
                <c:formatCode>General</c:formatCode>
                <c:ptCount val="1"/>
                <c:pt idx="0">
                  <c:v>2.5</c:v>
                </c:pt>
              </c:numCache>
            </c:numRef>
          </c:yVal>
          <c:smooth val="0"/>
          <c:extLst>
            <c:ext xmlns:c16="http://schemas.microsoft.com/office/drawing/2014/chart" uri="{C3380CC4-5D6E-409C-BE32-E72D297353CC}">
              <c16:uniqueId val="{0000000D-3CB1-7146-A272-36FB2ED4ADBC}"/>
            </c:ext>
          </c:extLst>
        </c:ser>
        <c:dLbls>
          <c:showLegendKey val="0"/>
          <c:showVal val="0"/>
          <c:showCatName val="0"/>
          <c:showSerName val="0"/>
          <c:showPercent val="0"/>
          <c:showBubbleSize val="0"/>
        </c:dLbls>
        <c:axId val="1864448000"/>
        <c:axId val="1861974912"/>
      </c:scatterChart>
      <c:valAx>
        <c:axId val="1864448000"/>
        <c:scaling>
          <c:orientation val="minMax"/>
          <c:max val="1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Feasibility (avg of Data, Implementation &amp; Adoption)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US"/>
          </a:p>
        </c:txPr>
        <c:crossAx val="1861974912"/>
        <c:crosses val="autoZero"/>
        <c:crossBetween val="midCat"/>
        <c:majorUnit val="2"/>
      </c:valAx>
      <c:valAx>
        <c:axId val="1861974912"/>
        <c:scaling>
          <c:orientation val="minMax"/>
          <c:max val="1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Impact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US"/>
          </a:p>
        </c:txPr>
        <c:crossAx val="1864448000"/>
        <c:crosses val="autoZero"/>
        <c:crossBetween val="midCat"/>
        <c:majorUnit val="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9595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0</xdr:rowOff>
    </xdr:from>
    <xdr:to>
      <xdr:col>9</xdr:col>
      <xdr:colOff>0</xdr:colOff>
      <xdr:row>33</xdr:row>
      <xdr:rowOff>0</xdr:rowOff>
    </xdr:to>
    <xdr:graphicFrame macro="">
      <xdr:nvGraphicFramePr>
        <xdr:cNvPr id="2" name="Chart 1">
          <a:extLst>
            <a:ext uri="{FF2B5EF4-FFF2-40B4-BE49-F238E27FC236}">
              <a16:creationId xmlns:a16="http://schemas.microsoft.com/office/drawing/2014/main" id="{57A8376F-BC3E-B646-9CA8-65410A27E0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10</xdr:row>
      <xdr:rowOff>203199</xdr:rowOff>
    </xdr:from>
    <xdr:to>
      <xdr:col>9</xdr:col>
      <xdr:colOff>0</xdr:colOff>
      <xdr:row>32</xdr:row>
      <xdr:rowOff>203199</xdr:rowOff>
    </xdr:to>
    <xdr:graphicFrame macro="">
      <xdr:nvGraphicFramePr>
        <xdr:cNvPr id="3" name="NEWCHART">
          <a:extLst>
            <a:ext uri="{FF2B5EF4-FFF2-40B4-BE49-F238E27FC236}">
              <a16:creationId xmlns:a16="http://schemas.microsoft.com/office/drawing/2014/main" id="{545DDF84-31A4-CD4A-B874-A506E6C8F8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4127C41-5458-EB4F-851F-9506D9D4A565}">
  <we:reference id="29673e3c-d826-4f00-92ee-162334a52b1a" version="1.0.0.8" store="EXCatalog" storeType="EXCatalog"/>
  <we:alternateReferences>
    <we:reference id="WA200009404" version="1.0.0.8" store="en-US" storeType="OMEX"/>
  </we:alternateReferences>
  <we:properties>
    <we:property name="claude.fileId" value="&quot;ff6ea23f-9eba-4a83-ad4c-cb3b1c66807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4520EAAB-70A8-49B0-A86F-96AE70D754AC}">
  <we:reference id="11d7cf85-ae5a-43b8-bc58-1e1a151cce24" version="1.0.0.1" store="excatalog" storeType="excatalog"/>
  <we:alternateReferences>
    <we:reference id="WA200010725" version="1.0.0.1" store="en-us" storeType="omex"/>
  </we:alternateReferences>
  <we:properties>
    <we:property name="claude.fileId" value="&quot;5810e97c-9b57-4162-9b9c-8ed0383c96be&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20C53-BD62-1E44-B381-41F92AB6D93F}">
  <dimension ref="A1:R17"/>
  <sheetViews>
    <sheetView tabSelected="1" zoomScale="138" zoomScaleNormal="100" workbookViewId="0">
      <pane ySplit="1" topLeftCell="A2" activePane="bottomLeft" state="frozen"/>
      <selection pane="bottomLeft" activeCell="F2" sqref="F2:F9"/>
    </sheetView>
  </sheetViews>
  <sheetFormatPr baseColWidth="10" defaultColWidth="11" defaultRowHeight="16" x14ac:dyDescent="0.2"/>
  <cols>
    <col min="1" max="1" width="24.33203125" customWidth="1"/>
    <col min="2" max="2" width="39.83203125" customWidth="1"/>
    <col min="3" max="6" width="16.6640625" customWidth="1"/>
    <col min="7" max="7" width="8.1640625" customWidth="1"/>
    <col min="8" max="8" width="16.6640625" customWidth="1"/>
    <col min="9" max="9" width="22" customWidth="1"/>
  </cols>
  <sheetData>
    <row r="1" spans="1:18" ht="51" x14ac:dyDescent="0.2">
      <c r="A1" s="3" t="s">
        <v>0</v>
      </c>
      <c r="B1" s="3" t="s">
        <v>1</v>
      </c>
      <c r="C1" s="4" t="s">
        <v>2</v>
      </c>
      <c r="D1" s="4" t="s">
        <v>3</v>
      </c>
      <c r="E1" s="4" t="s">
        <v>39</v>
      </c>
      <c r="F1" s="4" t="s">
        <v>4</v>
      </c>
      <c r="G1" s="4" t="s">
        <v>5</v>
      </c>
      <c r="H1" s="4" t="s">
        <v>6</v>
      </c>
      <c r="I1" s="4" t="inlineStr">
        <is>
          <t>Process step (Miro board)</t>
        </is>
      </c>
      <c r="J1" s="6" t="s">
        <v>7</v>
      </c>
      <c r="K1" s="7">
        <v>6.5</v>
      </c>
    </row>
    <row r="2" spans="1:18" ht="68" customHeight="1" x14ac:dyDescent="0.2">
      <c r="A2" s="5" t="inlineStr">
        <is>
          <t>Obligations Register</t>
        </is>
      </c>
      <c r="B2" s="5" t="inlineStr">
        <is>
          <t>Record the promises in each contract when it is signed; seeded from the 17 signed contracts already on file (13 of 30 are missing)</t>
        </is>
      </c>
      <c r="C2" s="2">
        <v>7</v>
      </c>
      <c r="D2" s="2">
        <v>6</v>
      </c>
      <c r="E2" s="2">
        <v>6</v>
      </c>
      <c r="F2" s="2">
        <f>IF(COUNT(C2:D2)&lt;1,NA(),AVERAGE(C2:E2))</f>
        <v>6.3333</v>
      </c>
      <c r="G2" s="2">
        <v>10</v>
      </c>
      <c r="H2" s="2">
        <f>IFERROR(F2*G2,NA())</f>
        <v>63.3333</v>
      </c>
      <c r="I2" s="5" t="inlineStr">
        <is>
          <t>Step 10 (feeds Step 6)</t>
        </is>
      </c>
      <c r="J2" s="1" t="s">
        <v>10</v>
      </c>
      <c r="K2" s="1" t="s">
        <v>11</v>
      </c>
      <c r="L2" s="1" t="s">
        <v>12</v>
      </c>
      <c r="M2" s="1" t="s">
        <v>13</v>
      </c>
    </row>
    <row r="3" spans="1:18" ht="52" customHeight="1" x14ac:dyDescent="0.2">
      <c r="A3" s="5" t="inlineStr">
        <is>
          <t>Conflict Check vs Past Commitments</t>
        </is>
      </c>
      <c r="B3" s="5" t="inlineStr">
        <is>
          <t>Match a new deal against recorded promises (scope, region, entity, dates, waivers) and cite the source clause</t>
        </is>
      </c>
      <c r="C3" s="2">
        <v>5</v>
      </c>
      <c r="D3" s="2">
        <v>4</v>
      </c>
      <c r="E3" s="2">
        <v>9</v>
      </c>
      <c r="F3" s="2">
        <f t="shared" ref="F3:F9" si="0">IF(COUNT(C3:D3)&lt;1,NA(),AVERAGE(C3:E3))</f>
        <v>6.0</v>
      </c>
      <c r="G3" s="2">
        <v>10</v>
      </c>
      <c r="H3" s="2">
        <f t="shared" ref="H3:H8" si="1">IFERROR(F3*G3,NA())</f>
        <v>60.0</v>
      </c>
      <c r="I3" s="5" t="inlineStr">
        <is>
          <t>Step 6</t>
        </is>
      </c>
      <c r="J3">
        <f>$K$1</f>
        <v>5</v>
      </c>
      <c r="K3">
        <v>0</v>
      </c>
      <c r="L3">
        <v>0</v>
      </c>
      <c r="M3">
        <f>$K$1</f>
        <v>5</v>
      </c>
    </row>
    <row r="4" spans="1:18" ht="68" customHeight="1" x14ac:dyDescent="0.2">
      <c r="A4" s="5" t="inlineStr">
        <is>
          <t>Clause-by-Clause Review</t>
        </is>
      </c>
      <c r="B4" s="5" t="inlineStr">
        <is>
          <t>Review every clause against AtliQ's principles and similar past contracts (for example liability against contract value); serious findings first</t>
        </is>
      </c>
      <c r="C4" s="2">
        <v>5</v>
      </c>
      <c r="D4" s="2">
        <v>5</v>
      </c>
      <c r="E4" s="2">
        <v>8</v>
      </c>
      <c r="F4" s="2">
        <f t="shared" si="0"/>
        <v>6.0</v>
      </c>
      <c r="G4" s="2">
        <v>9</v>
      </c>
      <c r="H4" s="2">
        <f t="shared" si="1"/>
        <v>54.0</v>
      </c>
      <c r="I4" s="5" t="inlineStr">
        <is>
          <t>Step 4</t>
        </is>
      </c>
      <c r="J4">
        <f>$K$1</f>
        <v>5</v>
      </c>
      <c r="K4">
        <v>10</v>
      </c>
      <c r="L4">
        <v>10</v>
      </c>
      <c r="M4">
        <f>$K$1</f>
        <v>5</v>
      </c>
    </row>
    <row r="5" spans="1:18" ht="52" customHeight="1" x14ac:dyDescent="0.2">
      <c r="A5" s="5" t="inlineStr">
        <is>
          <t>Entity and Law Check</t>
        </is>
      </c>
      <c r="B5" s="5" t="inlineStr">
        <is>
          <t>Rule check: governing law and courts against the signing AtliQ entity (Inc vs Pvt Ltd)</t>
        </is>
      </c>
      <c r="C5" s="2">
        <v>9</v>
      </c>
      <c r="D5" s="2">
        <v>9</v>
      </c>
      <c r="E5" s="2">
        <v>7</v>
      </c>
      <c r="F5" s="2">
        <f t="shared" si="0"/>
        <v>8.3333</v>
      </c>
      <c r="G5" s="2">
        <v>6</v>
      </c>
      <c r="H5" s="2">
        <f t="shared" si="1"/>
        <v>50.0</v>
      </c>
      <c r="I5" s="5" t="inlineStr">
        <is>
          <t>Step 5 (rule, run with Step 4)</t>
        </is>
      </c>
    </row>
    <row r="6" spans="1:18" ht="52" customHeight="1" x14ac:dyDescent="0.2">
      <c r="A6" s="5" t="inlineStr">
        <is>
          <t>Missing-Documents Check</t>
        </is>
      </c>
      <c r="B6" s="5" t="inlineStr">
        <is>
          <t>Rule check: which companion documents a client deal needs (NDA, MSA, BAA, DPA) and which are missing</t>
        </is>
      </c>
      <c r="C6" s="2">
        <v>8</v>
      </c>
      <c r="D6" s="2">
        <v>8</v>
      </c>
      <c r="E6" s="2">
        <v>6</v>
      </c>
      <c r="F6" s="2">
        <f t="shared" si="0"/>
        <v>7.3333</v>
      </c>
      <c r="G6" s="2">
        <v>6</v>
      </c>
      <c r="H6" s="2">
        <f t="shared" si="1"/>
        <v>44.0</v>
      </c>
      <c r="I6" s="5" t="inlineStr">
        <is>
          <t>Step 2</t>
        </is>
      </c>
      <c r="J6" s="8" t="s">
        <v>22</v>
      </c>
    </row>
    <row r="7" spans="1:18" ht="52" customHeight="1" x14ac:dyDescent="0.2">
      <c r="A7" s="5" t="inlineStr">
        <is>
          <t>Mutual / One-Sided Check</t>
        </is>
      </c>
      <c r="B7" s="5" t="inlineStr">
        <is>
          <t>Detect 'mutual' terms that are one-sided, in client paper and in AtliQ's own first drafts</t>
        </is>
      </c>
      <c r="C7" s="2">
        <v>6</v>
      </c>
      <c r="D7" s="2">
        <v>5</v>
      </c>
      <c r="E7" s="2">
        <v>9</v>
      </c>
      <c r="F7" s="2">
        <f t="shared" si="0"/>
        <v>6.6667</v>
      </c>
      <c r="G7" s="2">
        <v>8</v>
      </c>
      <c r="H7" s="2">
        <f t="shared" si="1"/>
        <v>53.3333</v>
      </c>
      <c r="I7" s="5" t="inlineStr">
        <is>
          <t>Step 4</t>
        </is>
      </c>
    </row>
    <row r="8" spans="1:18" ht="36" customHeight="1" x14ac:dyDescent="0.2">
      <c r="A8" s="5" t="inlineStr">
        <is>
          <t>Queue Triage</t>
        </is>
      </c>
      <c r="B8" s="5" t="inlineStr">
        <is>
          <t>Order the review queue by deadline and value</t>
        </is>
      </c>
      <c r="C8" s="2">
        <v>5</v>
      </c>
      <c r="D8" s="2">
        <v>8</v>
      </c>
      <c r="E8" s="2">
        <v>6</v>
      </c>
      <c r="F8" s="2">
        <f t="shared" si="0"/>
        <v>6.3333</v>
      </c>
      <c r="G8" s="2">
        <v>4</v>
      </c>
      <c r="H8" s="2">
        <f t="shared" si="1"/>
        <v>25.3333</v>
      </c>
      <c r="I8" s="5" t="inlineStr">
        <is>
          <t>Step 3</t>
        </is>
      </c>
    </row>
    <row r="9" spans="1:18" ht="52" customHeight="1" x14ac:dyDescent="0.2">
      <c r="A9" s="5" t="inlineStr">
        <is>
          <t>Deal Notes and Meeting Minutes</t>
        </is>
      </c>
      <c r="B9" s="5" t="inlineStr">
        <is>
          <t>Bring terms agreed on calls, chats and in meeting minutes into the review as cited context</t>
        </is>
      </c>
      <c r="C9" s="2">
        <v>6</v>
      </c>
      <c r="D9" s="2">
        <v>6</v>
      </c>
      <c r="E9" s="2">
        <v>6</v>
      </c>
      <c r="F9" s="2">
        <f t="shared" si="0"/>
        <v>6.0</v>
      </c>
      <c r="G9" s="2">
        <v>7</v>
      </c>
      <c r="H9" s="2">
        <f>IFERROR(F9*G9,NA())</f>
        <v>42.0</v>
      </c>
      <c r="I9" s="5" t="inlineStr">
        <is>
          <t>Steps 4, 6 and 8</t>
        </is>
      </c>
      <c r="J9" s="1" t="s">
        <v>27</v>
      </c>
    </row>
    <row r="10" spans="1:18" x14ac:dyDescent="0.2">
      <c r="G10" s="2"/>
      <c r="J10" t="s">
        <v>28</v>
      </c>
      <c r="K10">
        <f>$K$1+(10-$K$1)/2</f>
        <v>7.5</v>
      </c>
      <c r="L10">
        <f>$K$1+(10-$K$1)/2</f>
        <v>7.5</v>
      </c>
    </row>
    <row r="11" spans="1:18" x14ac:dyDescent="0.2">
      <c r="J11" t="s">
        <v>29</v>
      </c>
      <c r="K11">
        <f>$K$1/2</f>
        <v>2.5</v>
      </c>
      <c r="L11">
        <f>$K$1+(10-$K$1)/2</f>
        <v>7.5</v>
      </c>
    </row>
    <row r="12" spans="1:18" x14ac:dyDescent="0.2">
      <c r="J12" t="s">
        <v>30</v>
      </c>
      <c r="K12">
        <f>$K$1+(10-$K$1)/2</f>
        <v>7.5</v>
      </c>
      <c r="L12">
        <f>$K$1/2</f>
        <v>2.5</v>
      </c>
    </row>
    <row r="13" spans="1:18" x14ac:dyDescent="0.2">
      <c r="J13" t="s">
        <v>31</v>
      </c>
      <c r="K13">
        <f>$K$1/2</f>
        <v>2.5</v>
      </c>
      <c r="L13">
        <f>$K$1/2</f>
        <v>2.5</v>
      </c>
    </row>
    <row r="15" spans="1:18" x14ac:dyDescent="0.2">
      <c r="J15" s="8" t="s">
        <v>45</v>
      </c>
    </row>
    <row r="16" spans="1:18" x14ac:dyDescent="0.2">
      <c r="K16" t="str">
        <f>A2&amp;""</f>
        <v>Obligations Register</v>
      </c>
      <c r="L16" t="str">
        <f>A3&amp;""</f>
        <v>Conflict Check vs Past Commitments</v>
      </c>
      <c r="M16" t="str">
        <f>A4&amp;""</f>
        <v>Clause-by-Clause Review</v>
      </c>
      <c r="N16" t="str">
        <f>A5&amp;""</f>
        <v>Entity and Law Check</v>
      </c>
      <c r="O16" t="str">
        <f>A6&amp;""</f>
        <v>Missing-Documents Check</v>
      </c>
      <c r="P16" t="str">
        <f>A7&amp;""</f>
        <v>Mutual / One-Sided Check</v>
      </c>
      <c r="Q16" t="str">
        <f>A8&amp;""</f>
        <v>Queue Triage</v>
      </c>
      <c r="R16" t="str">
        <f>A9&amp;""</f>
        <v>Deal Notes and Meeting Minutes</v>
      </c>
    </row>
    <row r="17" spans="10:18" x14ac:dyDescent="0.2">
      <c r="J17">
        <v>1</v>
      </c>
      <c r="K17">
        <v>2</v>
      </c>
      <c r="L17">
        <v>3</v>
      </c>
      <c r="M17">
        <v>4</v>
      </c>
      <c r="N17">
        <v>5</v>
      </c>
      <c r="O17">
        <v>6</v>
      </c>
      <c r="P17">
        <v>7</v>
      </c>
      <c r="Q17">
        <v>8</v>
      </c>
      <c r="R17">
        <v>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Karandeep Grover</dc:creator>
  <cp:keywords/>
  <dc:description/>
  <cp:lastModifiedBy>Karandeep Grover</cp:lastModifiedBy>
  <cp:revision/>
  <dcterms:created xsi:type="dcterms:W3CDTF">2026-07-25T06:15:57Z</dcterms:created>
  <dcterms:modified xsi:type="dcterms:W3CDTF">2026-09-27T13:50:01Z</dcterms:modified>
  <cp:category/>
  <cp:contentStatus/>
</cp:coreProperties>
</file>