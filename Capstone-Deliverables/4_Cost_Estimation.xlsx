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840" tabRatio="600" firstSheet="0" activeTab="0" autoFilterDateGrouping="1"/>
  </bookViews>
  <sheets>
    <sheet xmlns:r="http://schemas.openxmlformats.org/officeDocument/2006/relationships" name="Inference" sheetId="1" state="visible" r:id="rId1"/>
    <sheet xmlns:r="http://schemas.openxmlformats.org/officeDocument/2006/relationships" name="Embeddings" sheetId="2" state="visible" r:id="rId2"/>
    <sheet xmlns:r="http://schemas.openxmlformats.org/officeDocument/2006/relationships" name="Cost Savings" sheetId="3" state="visible" r:id="rId3"/>
    <sheet xmlns:r="http://schemas.openxmlformats.org/officeDocument/2006/relationships" name="Assumptions and Sources" sheetId="4" state="visible" r:id="rId4"/>
  </sheets>
  <definedNames/>
  <calcPr calcId="191028" fullCalcOnLoad="1"/>
</workbook>
</file>

<file path=xl/styles.xml><?xml version="1.0" encoding="utf-8"?>
<styleSheet xmlns="http://schemas.openxmlformats.org/spreadsheetml/2006/main">
  <numFmts count="8">
    <numFmt numFmtId="164" formatCode="[$$-409]#,##0.00"/>
    <numFmt numFmtId="165" formatCode="_([$$-409]* #,##0.00_);_([$$-409]* \(#,##0.00\);_([$$-409]* &quot;-&quot;??_);_(@_)"/>
    <numFmt numFmtId="166" formatCode="_(&quot;₹&quot;* #,##0.00_);_(&quot;₹&quot;* \(#,##0.00\);_(&quot;₹&quot;* &quot;-&quot;??_);_(@_)"/>
    <numFmt numFmtId="167" formatCode="$#,##0.00"/>
    <numFmt numFmtId="168" formatCode="$0.0000"/>
    <numFmt numFmtId="169" formatCode="$0.000"/>
    <numFmt numFmtId="170" formatCode="0.0"/>
    <numFmt numFmtId="171" formatCode="$#,##0"/>
  </numFmts>
  <fonts count="14">
    <font>
      <name val="Calibri"/>
      <family val="2"/>
      <color theme="1"/>
      <sz val="14"/>
      <scheme val="minor"/>
    </font>
    <font>
      <name val="Calibri"/>
      <family val="2"/>
      <b val="1"/>
      <color theme="1"/>
      <sz val="14"/>
      <scheme val="minor"/>
    </font>
    <font>
      <name val="Calibri"/>
      <family val="2"/>
      <b val="1"/>
      <color theme="0"/>
      <sz val="14"/>
      <scheme val="minor"/>
    </font>
    <font>
      <name val="Calibri"/>
      <family val="2"/>
      <b val="1"/>
      <color theme="1"/>
      <sz val="18"/>
      <scheme val="minor"/>
    </font>
    <font>
      <name val="Calibri"/>
      <family val="2"/>
      <color theme="1"/>
      <sz val="14"/>
      <scheme val="minor"/>
    </font>
    <font>
      <name val="Calibri"/>
      <b val="1"/>
      <sz val="14"/>
    </font>
    <font>
      <name val="Calibri"/>
      <sz val="12"/>
    </font>
    <font>
      <name val="Calibri"/>
      <i val="1"/>
      <sz val="12"/>
    </font>
    <font>
      <name val="Calibri"/>
      <b val="1"/>
      <sz val="16"/>
    </font>
    <font>
      <name val="Calibri"/>
      <i val="1"/>
      <sz val="11"/>
    </font>
    <font>
      <name val="Calibri"/>
      <b val="1"/>
      <color rgb="00FFFFFF"/>
      <sz val="12"/>
    </font>
    <font>
      <name val="Calibri"/>
      <sz val="11"/>
    </font>
    <font>
      <name val="Calibri"/>
      <b val="1"/>
      <sz val="12"/>
    </font>
    <font>
      <name val="Calibri"/>
      <b val="1"/>
      <sz val="11"/>
    </font>
  </fonts>
  <fills count="6">
    <fill>
      <patternFill/>
    </fill>
    <fill>
      <patternFill patternType="gray125"/>
    </fill>
    <fill>
      <patternFill patternType="solid">
        <fgColor theme="4" tint="0.5999938962981048"/>
        <bgColor indexed="64"/>
      </patternFill>
    </fill>
    <fill>
      <patternFill patternType="solid">
        <fgColor theme="4"/>
        <bgColor theme="4"/>
      </patternFill>
    </fill>
    <fill>
      <patternFill patternType="solid">
        <fgColor theme="4" tint="-0.249977111117893"/>
        <bgColor indexed="64"/>
      </patternFill>
    </fill>
    <fill>
      <patternFill patternType="solid">
        <fgColor rgb="001F3A5F"/>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theme="4"/>
      </top>
      <bottom/>
      <diagonal/>
    </border>
    <border>
      <left/>
      <right style="medium">
        <color indexed="64"/>
      </right>
      <top style="thin">
        <color theme="4"/>
      </top>
      <bottom/>
      <diagonal/>
    </border>
    <border>
      <left style="medium">
        <color indexed="64"/>
      </left>
      <right/>
      <top style="thin">
        <color theme="4"/>
      </top>
      <bottom style="medium">
        <color indexed="64"/>
      </bottom>
      <diagonal/>
    </border>
    <border>
      <left style="thin">
        <color theme="4"/>
      </left>
      <right style="medium">
        <color indexed="64"/>
      </right>
      <top style="thin">
        <color theme="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theme="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bottom style="thin">
        <color rgb="00BBBBBB"/>
      </bottom>
    </border>
  </borders>
  <cellStyleXfs count="3">
    <xf numFmtId="0" fontId="4" fillId="0" borderId="0"/>
    <xf numFmtId="166" fontId="4" fillId="0" borderId="0"/>
    <xf numFmtId="9" fontId="4" fillId="0" borderId="0"/>
  </cellStyleXfs>
  <cellXfs count="137">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1" fillId="4" borderId="4" applyAlignment="1" pivotButton="0" quotePrefix="0" xfId="0">
      <alignment horizontal="center" vertical="center" wrapText="1"/>
    </xf>
    <xf numFmtId="0" fontId="1" fillId="4" borderId="5" applyAlignment="1" pivotButton="0" quotePrefix="0" xfId="0">
      <alignment horizontal="center" vertical="center" wrapText="1"/>
    </xf>
    <xf numFmtId="0" fontId="0" fillId="0" borderId="4" applyAlignment="1" pivotButton="0" quotePrefix="0" xfId="0">
      <alignment horizontal="center" vertical="center"/>
    </xf>
    <xf numFmtId="0" fontId="0" fillId="0" borderId="5" applyAlignment="1" pivotButton="0" quotePrefix="0" xfId="0">
      <alignment horizontal="center" vertical="center"/>
    </xf>
    <xf numFmtId="0" fontId="1" fillId="2" borderId="6" applyAlignment="1" pivotButton="0" quotePrefix="0" xfId="0">
      <alignment horizontal="center" vertical="center"/>
    </xf>
    <xf numFmtId="0" fontId="1" fillId="2" borderId="7" applyAlignment="1" pivotButton="0" quotePrefix="0" xfId="0">
      <alignment horizontal="center" vertic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4" pivotButton="0" quotePrefix="0" xfId="0"/>
    <xf numFmtId="0" fontId="0" fillId="0" borderId="4" applyAlignment="1" pivotButton="0" quotePrefix="0" xfId="0">
      <alignment wrapText="1"/>
    </xf>
    <xf numFmtId="0" fontId="1" fillId="2" borderId="10" applyAlignment="1" pivotButton="0" quotePrefix="0" xfId="0">
      <alignment horizontal="center" vertical="center"/>
    </xf>
    <xf numFmtId="164" fontId="1" fillId="2" borderId="11" applyAlignment="1" pivotButton="0" quotePrefix="0" xfId="0">
      <alignment horizontal="center" vertical="center"/>
    </xf>
    <xf numFmtId="0" fontId="0" fillId="0" borderId="12"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1" fillId="2" borderId="10" applyAlignment="1" pivotButton="0" quotePrefix="0" xfId="0">
      <alignment vertical="center"/>
    </xf>
    <xf numFmtId="0" fontId="2" fillId="3" borderId="13" applyAlignment="1" pivotButton="0" quotePrefix="0" xfId="0">
      <alignment horizontal="center" vertical="center"/>
    </xf>
    <xf numFmtId="164" fontId="2" fillId="3" borderId="14" applyAlignment="1" pivotButton="0" quotePrefix="0" xfId="0">
      <alignment horizontal="center" vertical="center"/>
    </xf>
    <xf numFmtId="0" fontId="3" fillId="2" borderId="13" applyAlignment="1" pivotButton="0" quotePrefix="0" xfId="0">
      <alignment horizontal="center" vertical="center"/>
    </xf>
    <xf numFmtId="0" fontId="3" fillId="2" borderId="15" applyAlignment="1" pivotButton="0" quotePrefix="0" xfId="0">
      <alignment horizontal="center" vertical="center"/>
    </xf>
    <xf numFmtId="0" fontId="0" fillId="0" borderId="18" applyAlignment="1" pivotButton="0" quotePrefix="0" xfId="0">
      <alignment horizontal="center" vertical="center"/>
    </xf>
    <xf numFmtId="0" fontId="1" fillId="2" borderId="18" applyAlignment="1" pivotButton="0" quotePrefix="0" xfId="0">
      <alignment horizontal="center" vertical="center"/>
    </xf>
    <xf numFmtId="0" fontId="1" fillId="2" borderId="12" applyAlignment="1" pivotButton="0" quotePrefix="0" xfId="0">
      <alignment horizontal="center" vertical="center"/>
    </xf>
    <xf numFmtId="0" fontId="1" fillId="2" borderId="19" applyAlignment="1" pivotButton="0" quotePrefix="0" xfId="0">
      <alignment horizontal="center" vertical="center"/>
    </xf>
    <xf numFmtId="0" fontId="1" fillId="2" borderId="20" applyAlignment="1" pivotButton="0" quotePrefix="0" xfId="0">
      <alignment horizontal="center" vertical="center"/>
    </xf>
    <xf numFmtId="0" fontId="0" fillId="0" borderId="21" applyAlignment="1" pivotButton="0" quotePrefix="0" xfId="0">
      <alignment horizontal="center" vertical="center"/>
    </xf>
    <xf numFmtId="0" fontId="0" fillId="0" borderId="22" applyAlignment="1" pivotButton="0" quotePrefix="0" xfId="0">
      <alignment horizontal="center" vertical="center" wrapText="1"/>
    </xf>
    <xf numFmtId="0" fontId="0" fillId="0" borderId="23" applyAlignment="1" pivotButton="0" quotePrefix="0" xfId="0">
      <alignment horizontal="center" vertical="center" wrapText="1"/>
    </xf>
    <xf numFmtId="0" fontId="0" fillId="0" borderId="24" applyAlignment="1" pivotButton="0" quotePrefix="0" xfId="0">
      <alignment horizontal="center" vertical="center"/>
    </xf>
    <xf numFmtId="164" fontId="0" fillId="0" borderId="25" applyAlignment="1" pivotButton="0" quotePrefix="0" xfId="0">
      <alignment horizontal="center" vertical="center"/>
    </xf>
    <xf numFmtId="0" fontId="0" fillId="0" borderId="24" pivotButton="0" quotePrefix="0" xfId="0"/>
    <xf numFmtId="0" fontId="0" fillId="0" borderId="1" pivotButton="0" quotePrefix="0" xfId="0"/>
    <xf numFmtId="164" fontId="0" fillId="0" borderId="25" pivotButton="0" quotePrefix="0" xfId="0"/>
    <xf numFmtId="0" fontId="0" fillId="0" borderId="26" pivotButton="0" quotePrefix="0" xfId="0"/>
    <xf numFmtId="0" fontId="0" fillId="0" borderId="27" pivotButton="0" quotePrefix="0" xfId="0"/>
    <xf numFmtId="164" fontId="0" fillId="0" borderId="28" pivotButton="0" quotePrefix="0" xfId="0"/>
    <xf numFmtId="0" fontId="2" fillId="4" borderId="0" applyAlignment="1" pivotButton="0" quotePrefix="0" xfId="0">
      <alignment horizontal="center" vertical="center"/>
    </xf>
    <xf numFmtId="165" fontId="2" fillId="4" borderId="0" applyAlignment="1" pivotButton="0" quotePrefix="0" xfId="0">
      <alignment horizontal="center" vertical="center"/>
    </xf>
    <xf numFmtId="0" fontId="2" fillId="4" borderId="1" applyAlignment="1" pivotButton="0" quotePrefix="0" xfId="0">
      <alignment horizontal="center" vertical="center"/>
    </xf>
    <xf numFmtId="165" fontId="2" fillId="4" borderId="1" applyAlignment="1" pivotButton="0" quotePrefix="0" xfId="0">
      <alignment horizontal="center" vertical="center"/>
    </xf>
    <xf numFmtId="9" fontId="2" fillId="4" borderId="1" applyAlignment="1" pivotButton="0" quotePrefix="0" xfId="2">
      <alignment horizontal="center" vertical="center"/>
    </xf>
    <xf numFmtId="0" fontId="0" fillId="0" borderId="23" applyAlignment="1" pivotButton="0" quotePrefix="0" xfId="0">
      <alignment horizontal="center" vertical="center"/>
    </xf>
    <xf numFmtId="165" fontId="0" fillId="0" borderId="25" pivotButton="0" quotePrefix="0" xfId="0"/>
    <xf numFmtId="165" fontId="0" fillId="0" borderId="28" pivotButton="0" quotePrefix="0" xfId="0"/>
    <xf numFmtId="165" fontId="0" fillId="0" borderId="25" applyAlignment="1" pivotButton="0" quotePrefix="0" xfId="1">
      <alignment horizontal="center" vertical="center"/>
    </xf>
    <xf numFmtId="165" fontId="0" fillId="0" borderId="25" applyAlignment="1" pivotButton="0" quotePrefix="0" xfId="0">
      <alignment horizontal="center" vertical="center"/>
    </xf>
    <xf numFmtId="0" fontId="0" fillId="0" borderId="26" applyAlignment="1" pivotButton="0" quotePrefix="0" xfId="0">
      <alignment horizontal="center" vertical="center"/>
    </xf>
    <xf numFmtId="165" fontId="0" fillId="0" borderId="28" applyAlignment="1" pivotButton="0" quotePrefix="0" xfId="0">
      <alignment horizontal="center" vertical="center"/>
    </xf>
    <xf numFmtId="0" fontId="1" fillId="2" borderId="16" applyAlignment="1" pivotButton="0" quotePrefix="0" xfId="0">
      <alignment horizontal="center" vertical="center"/>
    </xf>
    <xf numFmtId="0" fontId="1" fillId="2" borderId="17" applyAlignment="1" pivotButton="0" quotePrefix="0" xfId="0">
      <alignment horizontal="center" vertical="center"/>
    </xf>
    <xf numFmtId="0" fontId="1" fillId="2" borderId="29" applyAlignment="1" pivotButton="0" quotePrefix="0" xfId="0">
      <alignment horizontal="center" vertical="center" wrapText="1"/>
    </xf>
    <xf numFmtId="0" fontId="1" fillId="2" borderId="30" applyAlignment="1" pivotButton="0" quotePrefix="0" xfId="0">
      <alignment horizontal="center" vertical="center" wrapText="1"/>
    </xf>
    <xf numFmtId="0" fontId="1" fillId="2" borderId="31"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2" fillId="4" borderId="0" applyAlignment="1" pivotButton="0" quotePrefix="0" xfId="0">
      <alignment horizontal="center" vertical="center"/>
    </xf>
    <xf numFmtId="0" fontId="2" fillId="4" borderId="0" applyAlignment="1" pivotButton="0" quotePrefix="0" xfId="0">
      <alignment horizontal="center" vertical="center" wrapText="1"/>
    </xf>
    <xf numFmtId="0" fontId="0" fillId="0" borderId="31" pivotButton="0" quotePrefix="0" xfId="0"/>
    <xf numFmtId="0" fontId="1" fillId="2" borderId="16" applyAlignment="1" pivotButton="0" quotePrefix="0" xfId="0">
      <alignment horizontal="center" vertical="center" wrapText="1"/>
    </xf>
    <xf numFmtId="0" fontId="0" fillId="0" borderId="30" pivotButton="0" quotePrefix="0" xfId="0"/>
    <xf numFmtId="0" fontId="4" fillId="0" borderId="18" applyAlignment="1" pivotButton="0" quotePrefix="0" xfId="0">
      <alignment horizontal="center" vertical="center"/>
    </xf>
    <xf numFmtId="0" fontId="4" fillId="0" borderId="12" applyAlignment="1" pivotButton="0" quotePrefix="0" xfId="0">
      <alignment horizontal="center" vertical="center"/>
    </xf>
    <xf numFmtId="0" fontId="0" fillId="0" borderId="18" applyAlignment="1" pivotButton="0" quotePrefix="0" xfId="0">
      <alignment vertical="center" wrapText="1"/>
    </xf>
    <xf numFmtId="3" fontId="0" fillId="0" borderId="12" applyAlignment="1" pivotButton="0" quotePrefix="0" xfId="0">
      <alignment horizontal="center" vertical="center"/>
    </xf>
    <xf numFmtId="0" fontId="5" fillId="0" borderId="24" applyAlignment="1" pivotButton="0" quotePrefix="0" xfId="0">
      <alignment horizontal="center" vertical="center"/>
    </xf>
    <xf numFmtId="167" fontId="0" fillId="0" borderId="1" applyAlignment="1" pivotButton="0" quotePrefix="0" xfId="0">
      <alignment horizontal="center" vertical="center"/>
    </xf>
    <xf numFmtId="168" fontId="0" fillId="0" borderId="1" applyAlignment="1" pivotButton="0" quotePrefix="0" xfId="0">
      <alignment horizontal="center" vertical="center"/>
    </xf>
    <xf numFmtId="167" fontId="0" fillId="0" borderId="25" applyAlignment="1" pivotButton="0" quotePrefix="0" xfId="0">
      <alignment horizontal="center" vertical="center"/>
    </xf>
    <xf numFmtId="0" fontId="4" fillId="0" borderId="18" applyAlignment="1" pivotButton="0" quotePrefix="0" xfId="0">
      <alignment vertical="center" wrapText="1"/>
    </xf>
    <xf numFmtId="9" fontId="4" fillId="0" borderId="12" applyAlignment="1" pivotButton="0" quotePrefix="0" xfId="0">
      <alignment horizontal="center" vertical="center"/>
    </xf>
    <xf numFmtId="0" fontId="4" fillId="0" borderId="24" applyAlignment="1" pivotButton="0" quotePrefix="0" xfId="0">
      <alignment horizontal="center" vertical="center"/>
    </xf>
    <xf numFmtId="167" fontId="4" fillId="0" borderId="1" applyAlignment="1" pivotButton="0" quotePrefix="0" xfId="0">
      <alignment horizontal="center" vertical="center"/>
    </xf>
    <xf numFmtId="168" fontId="4" fillId="0" borderId="1" applyAlignment="1" pivotButton="0" quotePrefix="0" xfId="0">
      <alignment horizontal="center" vertical="center"/>
    </xf>
    <xf numFmtId="167" fontId="4" fillId="0" borderId="25" applyAlignment="1" pivotButton="0" quotePrefix="0" xfId="0">
      <alignment horizontal="center" vertical="center"/>
    </xf>
    <xf numFmtId="0" fontId="4" fillId="0" borderId="12" applyAlignment="1" pivotButton="0" quotePrefix="0" xfId="0">
      <alignment vertical="top" wrapText="1"/>
    </xf>
    <xf numFmtId="3" fontId="4" fillId="0" borderId="12" applyAlignment="1" pivotButton="0" quotePrefix="0" xfId="0">
      <alignment horizontal="center" vertical="center"/>
    </xf>
    <xf numFmtId="169" fontId="4" fillId="0" borderId="12" applyAlignment="1" pivotButton="0" quotePrefix="0" xfId="0">
      <alignment horizontal="center" vertical="center"/>
    </xf>
    <xf numFmtId="0" fontId="1" fillId="2" borderId="18" applyAlignment="1" pivotButton="0" quotePrefix="0" xfId="0">
      <alignment vertical="center" wrapText="1"/>
    </xf>
    <xf numFmtId="3" fontId="1" fillId="2" borderId="12" applyAlignment="1" pivotButton="0" quotePrefix="0" xfId="0">
      <alignment horizontal="center" vertical="center"/>
    </xf>
    <xf numFmtId="1" fontId="0" fillId="0" borderId="12" applyAlignment="1" pivotButton="0" quotePrefix="0" xfId="0">
      <alignment horizontal="center" vertical="center"/>
    </xf>
    <xf numFmtId="0" fontId="5" fillId="0" borderId="21" applyAlignment="1" pivotButton="0" quotePrefix="0" xfId="0">
      <alignment vertical="top" wrapText="1"/>
    </xf>
    <xf numFmtId="1" fontId="4" fillId="0" borderId="1" applyAlignment="1" pivotButton="0" quotePrefix="0" xfId="0">
      <alignment horizontal="center" vertical="center"/>
    </xf>
    <xf numFmtId="170" fontId="4" fillId="0" borderId="1" applyAlignment="1" pivotButton="0" quotePrefix="0" xfId="0">
      <alignment horizontal="center" vertical="center"/>
    </xf>
    <xf numFmtId="2" fontId="4" fillId="0" borderId="1" applyAlignment="1" pivotButton="0" quotePrefix="0" xfId="0">
      <alignment horizontal="center" vertical="center"/>
    </xf>
    <xf numFmtId="0" fontId="1" fillId="2" borderId="19" applyAlignment="1" pivotButton="0" quotePrefix="0" xfId="0">
      <alignment vertical="center" wrapText="1"/>
    </xf>
    <xf numFmtId="1" fontId="1" fillId="2" borderId="20" applyAlignment="1" pivotButton="0" quotePrefix="0" xfId="0">
      <alignment horizontal="center" vertical="center"/>
    </xf>
    <xf numFmtId="0" fontId="6" fillId="0" borderId="24" applyAlignment="1" pivotButton="0" quotePrefix="0" xfId="0">
      <alignment vertical="top" wrapText="1"/>
    </xf>
    <xf numFmtId="0" fontId="0" fillId="0" borderId="36" pivotButton="0" quotePrefix="0" xfId="0"/>
    <xf numFmtId="0" fontId="1" fillId="2" borderId="34" applyAlignment="1" pivotButton="0" quotePrefix="0" xfId="0">
      <alignment horizontal="center" vertical="center" wrapText="1"/>
    </xf>
    <xf numFmtId="0" fontId="0" fillId="0" borderId="3" pivotButton="0" quotePrefix="0" xfId="0"/>
    <xf numFmtId="0" fontId="1" fillId="2" borderId="34" applyAlignment="1" pivotButton="0" quotePrefix="0" xfId="0">
      <alignment horizontal="center" vertical="center"/>
    </xf>
    <xf numFmtId="164" fontId="1" fillId="2" borderId="11" applyAlignment="1" pivotButton="0" quotePrefix="0" xfId="0">
      <alignment horizontal="center" vertical="center"/>
    </xf>
    <xf numFmtId="164" fontId="2" fillId="3" borderId="14" applyAlignment="1" pivotButton="0" quotePrefix="0" xfId="0">
      <alignment horizontal="center" vertical="center"/>
    </xf>
    <xf numFmtId="0" fontId="7" fillId="2" borderId="13" applyAlignment="1" pivotButton="0" quotePrefix="0" xfId="0">
      <alignment horizontal="center" vertical="center"/>
    </xf>
    <xf numFmtId="0" fontId="0"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170" fontId="0" fillId="0" borderId="0" applyAlignment="1" pivotButton="0" quotePrefix="0" xfId="0">
      <alignment horizontal="center" vertical="center"/>
    </xf>
    <xf numFmtId="0" fontId="4" fillId="0" borderId="0" applyAlignment="1" pivotButton="0" quotePrefix="0" xfId="0">
      <alignment vertical="center" wrapText="1"/>
    </xf>
    <xf numFmtId="170" fontId="4" fillId="0" borderId="0" applyAlignment="1" pivotButton="0" quotePrefix="0" xfId="0">
      <alignment horizontal="center" vertical="center"/>
    </xf>
    <xf numFmtId="2" fontId="4" fillId="0" borderId="0" applyAlignment="1" pivotButton="0" quotePrefix="0" xfId="0">
      <alignment horizontal="center" vertical="center"/>
    </xf>
    <xf numFmtId="9" fontId="4" fillId="0" borderId="0" applyAlignment="1" pivotButton="0" quotePrefix="0" xfId="0">
      <alignment horizontal="center" vertical="center"/>
    </xf>
    <xf numFmtId="9" fontId="0" fillId="0" borderId="0" applyAlignment="1" pivotButton="0" quotePrefix="0" xfId="0">
      <alignment horizontal="center" vertical="center"/>
    </xf>
    <xf numFmtId="0" fontId="0" fillId="0" borderId="21" applyAlignment="1" pivotButton="0" quotePrefix="0" xfId="0">
      <alignment horizontal="center" vertical="center" wrapText="1"/>
    </xf>
    <xf numFmtId="0" fontId="0" fillId="0" borderId="24" applyAlignment="1" pivotButton="0" quotePrefix="0" xfId="0">
      <alignment horizontal="center" vertical="center" wrapText="1"/>
    </xf>
    <xf numFmtId="171" fontId="0" fillId="0" borderId="25" applyAlignment="1" pivotButton="0" quotePrefix="0" xfId="1">
      <alignment horizontal="center" vertical="center"/>
    </xf>
    <xf numFmtId="171" fontId="0" fillId="0" borderId="25" applyAlignment="1" pivotButton="0" quotePrefix="0" xfId="0">
      <alignment horizontal="center" vertical="center"/>
    </xf>
    <xf numFmtId="0" fontId="0" fillId="0" borderId="26" applyAlignment="1" pivotButton="0" quotePrefix="0" xfId="0">
      <alignment horizontal="center" vertical="center" wrapText="1"/>
    </xf>
    <xf numFmtId="171" fontId="0" fillId="0" borderId="28" applyAlignment="1" pivotButton="0" quotePrefix="0" xfId="0">
      <alignment horizontal="center" vertical="center"/>
    </xf>
    <xf numFmtId="0" fontId="5" fillId="0" borderId="26" applyAlignment="1" pivotButton="0" quotePrefix="0" xfId="0">
      <alignment horizontal="center" vertical="center" wrapText="1"/>
    </xf>
    <xf numFmtId="171" fontId="5" fillId="0" borderId="28" applyAlignment="1" pivotButton="0" quotePrefix="0" xfId="0">
      <alignment horizontal="center" vertical="center"/>
    </xf>
    <xf numFmtId="165" fontId="2" fillId="4" borderId="0" applyAlignment="1" pivotButton="0" quotePrefix="0" xfId="0">
      <alignment horizontal="center" vertical="center"/>
    </xf>
    <xf numFmtId="0" fontId="0" fillId="0" borderId="0" applyAlignment="1" pivotButton="0" quotePrefix="0" xfId="0">
      <alignment vertical="center" wrapText="1"/>
    </xf>
    <xf numFmtId="0" fontId="0" fillId="0" borderId="24" applyAlignment="1" pivotButton="0" quotePrefix="0" xfId="0">
      <alignment vertical="center" wrapText="1"/>
    </xf>
    <xf numFmtId="167" fontId="0" fillId="0" borderId="25" pivotButton="0" quotePrefix="0" xfId="0"/>
    <xf numFmtId="0" fontId="0" fillId="0" borderId="26" applyAlignment="1" pivotButton="0" quotePrefix="0" xfId="0">
      <alignment vertical="center" wrapText="1"/>
    </xf>
    <xf numFmtId="171" fontId="0" fillId="0" borderId="28" pivotButton="0" quotePrefix="0" xfId="0"/>
    <xf numFmtId="0" fontId="4" fillId="0" borderId="26" applyAlignment="1" pivotButton="0" quotePrefix="0" xfId="0">
      <alignment vertical="center" wrapText="1"/>
    </xf>
    <xf numFmtId="171" fontId="4" fillId="0" borderId="28" pivotButton="0" quotePrefix="0" xfId="0"/>
    <xf numFmtId="171" fontId="2" fillId="4" borderId="0" applyAlignment="1" pivotButton="0" quotePrefix="0" xfId="0">
      <alignment horizontal="center" vertical="center"/>
    </xf>
    <xf numFmtId="0" fontId="2" fillId="4" borderId="1" applyAlignment="1" pivotButton="0" quotePrefix="0" xfId="0">
      <alignment horizontal="center" vertical="center" wrapText="1"/>
    </xf>
    <xf numFmtId="171" fontId="2" fillId="4" borderId="1" applyAlignment="1" pivotButton="0" quotePrefix="0" xfId="0">
      <alignment horizontal="center" vertical="center"/>
    </xf>
    <xf numFmtId="170" fontId="2" fillId="4" borderId="1" applyAlignment="1" pivotButton="0" quotePrefix="0" xfId="0">
      <alignment horizontal="center" vertical="center"/>
    </xf>
    <xf numFmtId="1" fontId="2" fillId="4" borderId="1" applyAlignment="1" pivotButton="0" quotePrefix="0" xfId="0">
      <alignment horizontal="center" vertical="center"/>
    </xf>
    <xf numFmtId="0" fontId="8" fillId="0" borderId="0" pivotButton="0" quotePrefix="0" xfId="0"/>
    <xf numFmtId="0" fontId="9" fillId="0" borderId="0" pivotButton="0" quotePrefix="0" xfId="0"/>
    <xf numFmtId="0" fontId="10" fillId="5" borderId="0" pivotButton="0" quotePrefix="0" xfId="0"/>
    <xf numFmtId="0" fontId="11" fillId="0" borderId="37" applyAlignment="1" pivotButton="0" quotePrefix="0" xfId="0">
      <alignment vertical="top" wrapText="1"/>
    </xf>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11" fillId="0" borderId="0" applyAlignment="1" pivotButton="0" quotePrefix="0" xfId="0">
      <alignment vertical="top" wrapText="1"/>
    </xf>
  </cellXfs>
  <cellStyles count="3">
    <cellStyle name="Normal" xfId="0" builtinId="0"/>
    <cellStyle name="Currency" xfId="1" builtinId="4"/>
    <cellStyle name="Percent" xfId="2" builtinId="5"/>
  </cellStyles>
  <dxfs count="47">
    <dxf>
      <numFmt numFmtId="166" formatCode="_([$$-409]* #,##0.00_);_([$$-409]* \(#,##0.00\);_([$$-409]* &quot;-&quot;??_);_(@_)"/>
      <border>
        <left style="thin">
          <color indexed="64"/>
        </left>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alignment horizontal="center" vertical="center"/>
      <border>
        <left style="thin">
          <color indexed="64"/>
        </left>
        <right style="thin">
          <color indexed="64"/>
        </right>
        <top/>
        <bottom/>
        <vertical style="thin">
          <color indexed="64"/>
        </vertical>
        <horizontal style="thin">
          <color indexed="64"/>
        </horizontal>
      </border>
    </dxf>
    <dxf>
      <alignment horizontal="center" vertical="center"/>
      <border>
        <left style="thin">
          <color indexed="64"/>
        </left>
        <right/>
        <top style="thin">
          <color indexed="64"/>
        </top>
        <bottom style="thin">
          <color indexed="64"/>
        </bottom>
        <vertical style="thin">
          <color indexed="64"/>
        </vertical>
        <horizontal style="thin">
          <color indexed="64"/>
        </horizontal>
      </border>
    </dxf>
    <dxf>
      <alignment horizontal="center" vertical="center"/>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alignment horizontal="center" vertical="center"/>
    </dxf>
    <dxf>
      <alignment horizontal="center" vertical="center"/>
      <border>
        <left style="thin">
          <color indexed="64"/>
        </left>
        <right style="thin">
          <color indexed="64"/>
        </right>
        <top/>
        <bottom/>
        <vertical style="thin">
          <color indexed="64"/>
        </vertical>
        <horizontal style="thin">
          <color indexed="64"/>
        </horizontal>
      </bord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border outline="0">
        <bottom style="thin">
          <color theme="4"/>
        </bottom>
      </border>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alignment horizontal="center" vertical="center"/>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alignment horizontal="center" vertical="bottom"/>
    </dxf>
    <dxf>
      <alignment horizontal="center" vertical="bottom"/>
    </dxf>
    <dxf>
      <alignment horizontal="center" vertical="bottom"/>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alignment horizontal="center" vertical="center"/>
    </dxf>
    <dxf>
      <alignment horizontal="center" vertical="center"/>
    </dxf>
    <dxf>
      <alignment horizontal="center" vertical="center"/>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numFmt numFmtId="165" formatCode="[$$-409]#,##0.00"/>
      <border>
        <left style="thin">
          <color indexed="64"/>
        </left>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medium">
          <color indexed="64"/>
        </left>
        <right style="medium">
          <color indexed="64"/>
        </right>
        <top style="medium">
          <color indexed="64"/>
        </top>
        <bottom style="medium">
          <color indexed="64"/>
        </bottom>
      </border>
    </dxf>
    <dxf>
      <alignment horizontal="center" vertical="center" wrapText="1"/>
      <border>
        <left style="thin">
          <color indexed="64"/>
        </left>
        <right style="thin">
          <color indexed="64"/>
        </right>
        <top/>
        <bottom/>
        <vertical style="thin">
          <color indexed="64"/>
        </vertical>
        <horizontal style="thin">
          <color indexed="64"/>
        </horizontal>
      </border>
    </dxf>
    <dxf>
      <alignment horizontal="center" vertical="center"/>
      <border>
        <left style="thin">
          <color indexed="64"/>
        </left>
        <right/>
        <top style="thin">
          <color indexed="64"/>
        </top>
        <bottom style="thin">
          <color indexed="64"/>
        </bottom>
        <vertical style="thin">
          <color indexed="64"/>
        </vertical>
        <horizontal style="thin">
          <color indexed="64"/>
        </horizontal>
      </border>
    </dxf>
    <dxf>
      <alignment horizontal="center" vertical="center"/>
      <border>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1" displayName="Table1" ref="B5:C16" headerRowCount="1" totalsRowShown="0" headerRowDxfId="46">
  <autoFilter ref="B5:C16"/>
  <tableColumns count="2">
    <tableColumn id="1" name="Description" dataDxfId="45"/>
    <tableColumn id="2" name="Quantity" dataDxfId="44"/>
  </tableColumns>
  <tableStyleInfo name="TableStyleLight9" showFirstColumn="0" showLastColumn="0" showRowStripes="1" showColumnStripes="0"/>
</table>
</file>

<file path=xl/tables/table2.xml><?xml version="1.0" encoding="utf-8"?>
<table xmlns="http://schemas.openxmlformats.org/spreadsheetml/2006/main" id="2" name="Table2" displayName="Table2" ref="E5:K11" headerRowCount="1" totalsRowShown="0" headerRowDxfId="43" headerRowBorderDxfId="41" tableBorderDxfId="42" totalsRowBorderDxfId="40">
  <autoFilter ref="E5:K11"/>
  <tableColumns count="7">
    <tableColumn id="1" name="Model Name" dataDxfId="39"/>
    <tableColumn id="2" name="Input cost($) per 1M token" dataDxfId="38"/>
    <tableColumn id="3" name="Output cost($) per 1M token" dataDxfId="37"/>
    <tableColumn id="4" name="Cost per input Query($)" dataDxfId="36">
      <calculatedColumnFormula>F6*$C$11/1000000</calculatedColumnFormula>
    </tableColumn>
    <tableColumn id="5" name="Cost per output query Query($)" dataDxfId="35">
      <calculatedColumnFormula>G6*$C$12/1000000</calculatedColumnFormula>
    </tableColumn>
    <tableColumn id="6" name="Total Cost per query" dataDxfId="34">
      <calculatedColumnFormula>H6+I6</calculatedColumnFormula>
    </tableColumn>
    <tableColumn id="7" name="Total cost per month" dataDxfId="33">
      <calculatedColumnFormula>Table2[[#This Row],[Total Cost per query]]*$C$16</calculatedColumnFormula>
    </tableColumn>
  </tableColumns>
  <tableStyleInfo name="TableStyleLight9" showFirstColumn="0" showLastColumn="0" showRowStripes="1" showColumnStripes="0"/>
</table>
</file>

<file path=xl/tables/table3.xml><?xml version="1.0" encoding="utf-8"?>
<table xmlns="http://schemas.openxmlformats.org/spreadsheetml/2006/main" id="3" name="Table3" displayName="Table3" ref="C6:D10" headerRowCount="1" totalsRowShown="0" headerRowDxfId="32" dataDxfId="31">
  <autoFilter ref="C6:D10"/>
  <tableColumns count="2">
    <tableColumn id="1" name="Component" dataDxfId="30"/>
    <tableColumn id="2" name="Quantity" dataDxfId="29"/>
  </tableColumns>
  <tableStyleInfo name="TableStyleLight9" showFirstColumn="0" showLastColumn="0" showRowStripes="1" showColumnStripes="0"/>
</table>
</file>

<file path=xl/tables/table4.xml><?xml version="1.0" encoding="utf-8"?>
<table xmlns="http://schemas.openxmlformats.org/spreadsheetml/2006/main" id="4" name="Table4" displayName="Table4" ref="F6:G10" headerRowCount="1" totalsRowShown="0" headerRowDxfId="28" dataDxfId="27">
  <autoFilter ref="F6:G10"/>
  <tableColumns count="2">
    <tableColumn id="1" name="Component" dataDxfId="26"/>
    <tableColumn id="2" name="Quantity" dataDxfId="25"/>
  </tableColumns>
  <tableStyleInfo name="TableStyleLight9" showFirstColumn="0" showLastColumn="0" showRowStripes="1" showColumnStripes="0"/>
</table>
</file>

<file path=xl/tables/table5.xml><?xml version="1.0" encoding="utf-8"?>
<table xmlns="http://schemas.openxmlformats.org/spreadsheetml/2006/main" id="5" name="Table5" displayName="Table5" ref="I6:J10" headerRowCount="1" totalsRowShown="0" headerRowDxfId="24">
  <autoFilter ref="I6:J10"/>
  <tableColumns count="2">
    <tableColumn id="1" name="Component"/>
    <tableColumn id="2" name="Quantity" dataDxfId="23"/>
  </tableColumns>
  <tableStyleInfo name="TableStyleLight9" showFirstColumn="0" showLastColumn="0" showRowStripes="1" showColumnStripes="0"/>
</table>
</file>

<file path=xl/tables/table6.xml><?xml version="1.0" encoding="utf-8"?>
<table xmlns="http://schemas.openxmlformats.org/spreadsheetml/2006/main" id="6" name="Table6" displayName="Table6" ref="C14:D17" headerRowCount="1" totalsRowShown="0" headerRowDxfId="22" tableBorderDxfId="21">
  <autoFilter ref="C14:D17"/>
  <tableColumns count="2">
    <tableColumn id="1" name="Component"/>
    <tableColumn id="2" name="Cost/Quantity"/>
  </tableColumns>
  <tableStyleInfo name="TableStyleLight9" showFirstColumn="0" showLastColumn="0" showRowStripes="1" showColumnStripes="0"/>
</table>
</file>

<file path=xl/tables/table7.xml><?xml version="1.0" encoding="utf-8"?>
<table xmlns="http://schemas.openxmlformats.org/spreadsheetml/2006/main" id="7" name="Table7" displayName="Table7" ref="C21:D26" headerRowCount="1" totalsRowShown="0" headerRowDxfId="20" dataDxfId="19">
  <autoFilter ref="C21:D26"/>
  <tableColumns count="2">
    <tableColumn id="1" name="Component" dataDxfId="18"/>
    <tableColumn id="2" name="Cost/Quantity" dataDxfId="17"/>
  </tableColumns>
  <tableStyleInfo name="TableStyleLight9" showFirstColumn="0" showLastColumn="0" showRowStripes="1" showColumnStripes="0"/>
</table>
</file>

<file path=xl/tables/table8.xml><?xml version="1.0" encoding="utf-8"?>
<table xmlns="http://schemas.openxmlformats.org/spreadsheetml/2006/main" id="8" name="Table8" displayName="Table8" ref="D4:E10" headerRowCount="1" totalsRowShown="0" headerRowDxfId="16" dataDxfId="15">
  <autoFilter ref="D4:E10"/>
  <tableColumns count="2">
    <tableColumn id="1" name="Component" dataDxfId="14"/>
    <tableColumn id="2" name="Quantity" dataDxfId="13"/>
  </tableColumns>
  <tableStyleInfo name="TableStyleLight9" showFirstColumn="0" showLastColumn="0" showRowStripes="1" showColumnStripes="0"/>
</table>
</file>

<file path=xl/tables/table9.xml><?xml version="1.0" encoding="utf-8"?>
<table xmlns="http://schemas.openxmlformats.org/spreadsheetml/2006/main" id="9" name="Table9" displayName="Table9" ref="D14:E18" headerRowCount="1" totalsRowShown="0" headerRowDxfId="12" dataDxfId="11" headerRowBorderDxfId="9" tableBorderDxfId="10" totalsRowBorderDxfId="8">
  <autoFilter ref="D14:E17"/>
  <tableColumns count="2">
    <tableColumn id="1" name="Component" dataDxfId="7"/>
    <tableColumn id="2" name="Cost" dataDxfId="6"/>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D23:E25" headerRowCount="1" totalsRowShown="0" headerRowDxfId="5" headerRowBorderDxfId="3" tableBorderDxfId="4" totalsRowBorderDxfId="2">
  <autoFilter ref="D23:E25"/>
  <tableColumns count="2">
    <tableColumn id="1" name="Component" dataDxfId="1"/>
    <tableColumn id="2" name="Cos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 Type="http://schemas.openxmlformats.org/officeDocument/2006/relationships/table" Target="/xl/tables/table7.xml" Id="rId5"/></Relationships>
</file>

<file path=xl/worksheets/_rels/sheet3.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s>
</file>

<file path=xl/worksheets/sheet1.xml><?xml version="1.0" encoding="utf-8"?>
<worksheet xmlns="http://schemas.openxmlformats.org/spreadsheetml/2006/main">
  <sheetPr>
    <outlinePr summaryBelow="1" summaryRight="1"/>
    <pageSetUpPr/>
  </sheetPr>
  <dimension ref="B4:Q26"/>
  <sheetViews>
    <sheetView tabSelected="1" zoomScaleNormal="100" workbookViewId="0">
      <selection activeCell="E4" sqref="E4:K4"/>
    </sheetView>
  </sheetViews>
  <sheetFormatPr baseColWidth="8" defaultColWidth="11.19921875" defaultRowHeight="18.95"/>
  <cols>
    <col width="62" customWidth="1" min="2" max="2"/>
    <col width="15.8984375" customWidth="1" min="3" max="3"/>
    <col width="44" customWidth="1" min="5" max="5"/>
    <col width="18.69921875" customWidth="1" min="6" max="6"/>
    <col width="20.296875" customWidth="1" min="7" max="7"/>
    <col width="19" customWidth="1" min="8" max="9"/>
    <col width="22" customWidth="1" min="9" max="9"/>
    <col width="12.59765625" customWidth="1" min="10" max="10"/>
    <col width="18.296875" customWidth="1" min="11" max="11"/>
    <col width="40" customWidth="1" min="13" max="13"/>
    <col width="14" customWidth="1" min="14" max="14"/>
    <col width="14" customWidth="1" min="15" max="15"/>
    <col width="18" customWidth="1" min="16" max="16"/>
    <col width="16" customWidth="1" min="17" max="17"/>
  </cols>
  <sheetData>
    <row r="3" ht="20.1" customHeight="1" thickBot="1"/>
    <row r="4" ht="18.95" customHeight="1">
      <c r="B4" s="51" t="inlineStr">
        <is>
          <t>Base Calculation (one review of one contract version)</t>
        </is>
      </c>
      <c r="C4" s="62" t="n"/>
      <c r="E4" s="63" t="inlineStr">
        <is>
          <t>Model Selection + Cost Estimation (prices per 1M tokens, USD)</t>
        </is>
      </c>
      <c r="F4" s="64" t="n"/>
      <c r="G4" s="64" t="n"/>
      <c r="H4" s="64" t="n"/>
      <c r="I4" s="64" t="n"/>
      <c r="J4" s="64" t="n"/>
      <c r="K4" s="62" t="n"/>
    </row>
    <row r="5" ht="39.95" customHeight="1">
      <c r="B5" s="23" t="inlineStr">
        <is>
          <t>Description</t>
        </is>
      </c>
      <c r="C5" s="15" t="inlineStr">
        <is>
          <t>Quantity</t>
        </is>
      </c>
      <c r="E5" s="28" t="inlineStr">
        <is>
          <t>Model Name</t>
        </is>
      </c>
      <c r="F5" s="29" t="inlineStr">
        <is>
          <t>Input cost($) per 1M token</t>
        </is>
      </c>
      <c r="G5" s="29" t="inlineStr">
        <is>
          <t>Output cost($) per 1M token</t>
        </is>
      </c>
      <c r="H5" s="29" t="inlineStr">
        <is>
          <t>Cost per input Query($)</t>
        </is>
      </c>
      <c r="I5" s="29" t="inlineStr">
        <is>
          <t>Cost per output query Query($)</t>
        </is>
      </c>
      <c r="J5" s="29" t="inlineStr">
        <is>
          <t>Total Cost per query</t>
        </is>
      </c>
      <c r="K5" s="30" t="inlineStr">
        <is>
          <t>Total cost per month</t>
        </is>
      </c>
      <c r="M5" s="65" t="inlineStr">
        <is>
          <t>Two-tier blend assumptions</t>
        </is>
      </c>
      <c r="N5" s="66" t="inlineStr">
        <is>
          <t>Value</t>
        </is>
      </c>
    </row>
    <row r="6">
      <c r="B6" s="67" t="inlineStr">
        <is>
          <t>Contract length, tokens per pass (6,000 = about 10 pages)</t>
        </is>
      </c>
      <c r="C6" s="68" t="n">
        <v>6000</v>
      </c>
      <c r="E6" s="69" t="inlineStr">
        <is>
          <t>Recommended: two-tier blend (Flash-Lite reads, Flash judges)</t>
        </is>
      </c>
      <c r="F6" s="70">
        <f>$N$6*F7+(1-$N$6)*F8</f>
        <v/>
      </c>
      <c r="G6" s="70">
        <f>$N$7*G7+(1-$N$7)*G8</f>
        <v/>
      </c>
      <c r="H6" s="71">
        <f>F6*$C$11/1000000</f>
        <v/>
      </c>
      <c r="I6" s="71">
        <f>G6*$C$12/1000000</f>
        <v/>
      </c>
      <c r="J6" s="71">
        <f>H6+I6</f>
        <v/>
      </c>
      <c r="K6" s="72">
        <f>Table2[[#This Row],[Total Cost per query]]*$C$16</f>
        <v/>
      </c>
      <c r="M6" s="73" t="inlineStr">
        <is>
          <t>Share of input tokens on the fast tier</t>
        </is>
      </c>
      <c r="N6" s="74" t="n">
        <v>0.33</v>
      </c>
    </row>
    <row r="7">
      <c r="B7" s="67" t="inlineStr">
        <is>
          <t>Contract text sent in 2 passes (reading, clause review)</t>
        </is>
      </c>
      <c r="C7" s="68">
        <f>C6*2</f>
        <v/>
      </c>
      <c r="E7" s="31" t="inlineStr">
        <is>
          <t>Gemini 3.5 Flash-Lite (prototype, both tiers)</t>
        </is>
      </c>
      <c r="F7" s="70" t="n">
        <v>0.3</v>
      </c>
      <c r="G7" s="70" t="n">
        <v>2.5</v>
      </c>
      <c r="H7" s="71">
        <f>F7*$C$11/1000000</f>
        <v/>
      </c>
      <c r="I7" s="71">
        <f>G7*$C$12/1000000</f>
        <v/>
      </c>
      <c r="J7" s="71">
        <f>H7+I7</f>
        <v/>
      </c>
      <c r="K7" s="72">
        <f>Table2[[#This Row],[Total Cost per query]]*$C$16</f>
        <v/>
      </c>
      <c r="M7" s="73" t="inlineStr">
        <is>
          <t>Share of output tokens on the fast tier</t>
        </is>
      </c>
      <c r="N7" s="74" t="n">
        <v>0.28</v>
      </c>
    </row>
    <row r="8">
      <c r="B8" s="67" t="inlineStr">
        <is>
          <t>Clause-review batches (about 6,500 characters each)</t>
        </is>
      </c>
      <c r="C8" s="68">
        <f>ROUNDUP(C6*4/6500,0)</f>
        <v/>
      </c>
      <c r="E8" s="31" t="inlineStr">
        <is>
          <t>Gemini 3.5 Flash</t>
        </is>
      </c>
      <c r="F8" s="70" t="n">
        <v>1.5</v>
      </c>
      <c r="G8" s="70" t="n">
        <v>9</v>
      </c>
      <c r="H8" s="71">
        <f>F8*$C$11/1000000</f>
        <v/>
      </c>
      <c r="I8" s="71">
        <f>G8*$C$12/1000000</f>
        <v/>
      </c>
      <c r="J8" s="71">
        <f>H8+I8</f>
        <v/>
      </c>
      <c r="K8" s="72">
        <f>Table2[[#This Row],[Total Cost per query]]*$C$16</f>
        <v/>
      </c>
    </row>
    <row r="9">
      <c r="B9" s="67" t="inlineStr">
        <is>
          <t>Prompt overhead per batch (instructions, principles, benchmark)</t>
        </is>
      </c>
      <c r="C9" s="68" t="n">
        <v>860</v>
      </c>
      <c r="E9" s="75" t="inlineStr">
        <is>
          <t>Claude Haiku 5.5</t>
        </is>
      </c>
      <c r="F9" s="76" t="n">
        <v>0.1</v>
      </c>
      <c r="G9" s="76" t="n">
        <v>0.5</v>
      </c>
      <c r="H9" s="77">
        <f>F9*$C$11/1000000</f>
        <v/>
      </c>
      <c r="I9" s="77">
        <f>G9*$C$12/1000000</f>
        <v/>
      </c>
      <c r="J9" s="77">
        <f>H9+I9</f>
        <v/>
      </c>
      <c r="K9" s="78">
        <f>Table2[[#This Row],[Total Cost per query]]*$C$16</f>
        <v/>
      </c>
      <c r="M9" s="65" t="inlineStr">
        <is>
          <t>Contract length sensitivity (recommended blend)</t>
        </is>
      </c>
      <c r="N9" s="79" t="inlineStr">
        <is>
          <t>Contract tokens</t>
        </is>
      </c>
      <c r="O9" s="79" t="inlineStr">
        <is>
          <t>Input tokens</t>
        </is>
      </c>
      <c r="P9" s="79" t="inlineStr">
        <is>
          <t>Output tokens</t>
        </is>
      </c>
      <c r="Q9" s="79" t="inlineStr">
        <is>
          <t>Cost per review ($)</t>
        </is>
      </c>
    </row>
    <row r="10">
      <c r="B10" s="67" t="inlineStr">
        <is>
          <t>Fixed overhead (extraction prompt, register summary, deal context)</t>
        </is>
      </c>
      <c r="C10" s="68" t="n">
        <v>2600</v>
      </c>
      <c r="E10" s="75" t="inlineStr">
        <is>
          <t>Claude Sonnet 5.5</t>
        </is>
      </c>
      <c r="F10" s="76" t="n">
        <v>2</v>
      </c>
      <c r="G10" s="76" t="n">
        <v>10</v>
      </c>
      <c r="H10" s="77">
        <f>F10*$C$11/1000000</f>
        <v/>
      </c>
      <c r="I10" s="77">
        <f>G10*$C$12/1000000</f>
        <v/>
      </c>
      <c r="J10" s="77">
        <f>H10+I10</f>
        <v/>
      </c>
      <c r="K10" s="78">
        <f>Table2[[#This Row],[Total Cost per query]]*$C$16</f>
        <v/>
      </c>
      <c r="M10" s="73" t="inlineStr">
        <is>
          <t>Short (like the dataset drafts, about 4 pages)</t>
        </is>
      </c>
      <c r="N10" s="80" t="n">
        <v>2900</v>
      </c>
      <c r="O10" s="80">
        <f>2*N10+$C$10+ROUNDUP(N10*4/6500,0)*$C$9</f>
        <v/>
      </c>
      <c r="P10" s="80">
        <f>ROUND(O10*0.224,0)</f>
        <v/>
      </c>
      <c r="Q10" s="81">
        <f>O10*$F$6/1000000+P10*$G$6/1000000</f>
        <v/>
      </c>
    </row>
    <row r="11">
      <c r="B11" s="82" t="inlineStr">
        <is>
          <t>Total input tokens per review</t>
        </is>
      </c>
      <c r="C11" s="83">
        <f>C7+C8*C9+C10</f>
        <v/>
      </c>
      <c r="E11" s="75" t="inlineStr">
        <is>
          <t>Groq gpt-oss-120b (automatic fallback, indicative)</t>
        </is>
      </c>
      <c r="F11" s="76" t="n">
        <v>0.15</v>
      </c>
      <c r="G11" s="76" t="n">
        <v>0.6</v>
      </c>
      <c r="H11" s="77">
        <f>F11*$C$11/1000000</f>
        <v/>
      </c>
      <c r="I11" s="77">
        <f>G11*$C$12/1000000</f>
        <v/>
      </c>
      <c r="J11" s="77">
        <f>H11+I11</f>
        <v/>
      </c>
      <c r="K11" s="78">
        <f>Table2[[#This Row],[Total Cost per query]]*$C$16</f>
        <v/>
      </c>
      <c r="M11" s="73" t="inlineStr">
        <is>
          <t>Typical (about 10 pages)</t>
        </is>
      </c>
      <c r="N11" s="80" t="n">
        <v>6000</v>
      </c>
      <c r="O11" s="80">
        <f>2*N11+$C$10+ROUNDUP(N11*4/6500,0)*$C$9</f>
        <v/>
      </c>
      <c r="P11" s="80">
        <f>ROUND(O11*0.224,0)</f>
        <v/>
      </c>
      <c r="Q11" s="81">
        <f>O11*$F$6/1000000+P11*$G$6/1000000</f>
        <v/>
      </c>
    </row>
    <row r="12">
      <c r="B12" s="67" t="inlineStr">
        <is>
          <t>Total output tokens per review (22.4% of input, measured)</t>
        </is>
      </c>
      <c r="C12" s="68">
        <f>ROUND(C11*0.224,0)</f>
        <v/>
      </c>
      <c r="M12" s="73" t="inlineStr">
        <is>
          <t>Outlier (about 40 pages)</t>
        </is>
      </c>
      <c r="N12" s="80" t="n">
        <v>16000</v>
      </c>
      <c r="O12" s="80">
        <f>2*N12+$C$10+ROUNDUP(N12*4/6500,0)*$C$9</f>
        <v/>
      </c>
      <c r="P12" s="80">
        <f>ROUND(O12*0.224,0)</f>
        <v/>
      </c>
      <c r="Q12" s="81">
        <f>O12*$F$6/1000000+P12*$G$6/1000000</f>
        <v/>
      </c>
    </row>
    <row r="13">
      <c r="B13" s="82" t="inlineStr">
        <is>
          <t>Total tokens per review</t>
        </is>
      </c>
      <c r="C13" s="83">
        <f>C11+C12</f>
        <v/>
      </c>
      <c r="E13" s="63" t="inlineStr">
        <is>
          <t>Monthly model cost at different volumes (recommended blend)</t>
        </is>
      </c>
      <c r="F13" s="64" t="n"/>
      <c r="G13" s="64" t="n"/>
      <c r="H13" s="64" t="n"/>
      <c r="I13" s="64" t="n"/>
      <c r="J13" s="64" t="n"/>
      <c r="K13" s="62" t="n"/>
    </row>
    <row r="14">
      <c r="B14" s="67" t="inlineStr">
        <is>
          <t>Documents reviewed per month (3-4 contracts + 4-5 NDAs)</t>
        </is>
      </c>
      <c r="C14" s="84" t="n">
        <v>8</v>
      </c>
      <c r="E14" s="85" t="inlineStr">
        <is>
          <t>Scenario</t>
        </is>
      </c>
      <c r="F14" s="85" t="inlineStr">
        <is>
          <t>Documents per month</t>
        </is>
      </c>
      <c r="G14" s="85" t="inlineStr">
        <is>
          <t>Versions per document</t>
        </is>
      </c>
      <c r="H14" s="85" t="inlineStr">
        <is>
          <t>Reviews per month</t>
        </is>
      </c>
      <c r="I14" s="85" t="inlineStr">
        <is>
          <t>Tokens per month (millions)</t>
        </is>
      </c>
      <c r="J14" s="85" t="inlineStr">
        <is>
          <t>Cost per review ($)</t>
        </is>
      </c>
      <c r="K14" s="85" t="inlineStr">
        <is>
          <t>Cost per month ($)</t>
        </is>
      </c>
    </row>
    <row r="15">
      <c r="B15" s="67" t="inlineStr">
        <is>
          <t>Versions per document (each is a full re-review)</t>
        </is>
      </c>
      <c r="C15" s="84" t="n">
        <v>2</v>
      </c>
      <c r="E15" s="69" t="inlineStr">
        <is>
          <t>Today (client baseline)</t>
        </is>
      </c>
      <c r="F15" s="86" t="n">
        <v>8</v>
      </c>
      <c r="G15" s="87" t="n">
        <v>2</v>
      </c>
      <c r="H15" s="86">
        <f>F15*G15</f>
        <v/>
      </c>
      <c r="I15" s="88">
        <f>H15*$C$13/1000000</f>
        <v/>
      </c>
      <c r="J15" s="77">
        <f>$J$6</f>
        <v/>
      </c>
      <c r="K15" s="76">
        <f>H15*J15</f>
        <v/>
      </c>
    </row>
    <row r="16" ht="20.1" customHeight="1" thickBot="1">
      <c r="B16" s="89" t="inlineStr">
        <is>
          <t>Total reviews per month</t>
        </is>
      </c>
      <c r="C16" s="90">
        <f>C14*C15</f>
        <v/>
      </c>
      <c r="E16" s="69" t="inlineStr">
        <is>
          <t>Busy quarter</t>
        </is>
      </c>
      <c r="F16" s="86" t="n">
        <v>20</v>
      </c>
      <c r="G16" s="87" t="n">
        <v>2</v>
      </c>
      <c r="H16" s="86">
        <f>F16*G16</f>
        <v/>
      </c>
      <c r="I16" s="88">
        <f>H16*$C$13/1000000</f>
        <v/>
      </c>
      <c r="J16" s="77">
        <f>$J$6</f>
        <v/>
      </c>
      <c r="K16" s="76">
        <f>H16*J16</f>
        <v/>
      </c>
    </row>
    <row r="17">
      <c r="E17" s="69" t="inlineStr">
        <is>
          <t>Whole company, every partner and client paper</t>
        </is>
      </c>
      <c r="F17" s="86" t="n">
        <v>60</v>
      </c>
      <c r="G17" s="87" t="n">
        <v>2.5</v>
      </c>
      <c r="H17" s="86">
        <f>F17*G17</f>
        <v/>
      </c>
      <c r="I17" s="88">
        <f>H17*$C$13/1000000</f>
        <v/>
      </c>
      <c r="J17" s="77">
        <f>$J$6</f>
        <v/>
      </c>
      <c r="K17" s="76">
        <f>H17*J17</f>
        <v/>
      </c>
    </row>
    <row r="19">
      <c r="E19" s="63" t="inlineStr">
        <is>
          <t>Model selection strategy</t>
        </is>
      </c>
      <c r="F19" s="64" t="n"/>
      <c r="G19" s="64" t="n"/>
      <c r="H19" s="64" t="n"/>
      <c r="I19" s="64" t="n"/>
      <c r="J19" s="64" t="n"/>
      <c r="K19" s="62" t="n"/>
    </row>
    <row r="20" ht="48" customHeight="1">
      <c r="E20" s="91" t="inlineStr">
        <is>
          <t>1. Code first, model second. Entity vs law, liability ratio, payment days, date maths, quote checks and coverage counts are rules and cost nothing. The model only reads unstructured text.</t>
        </is>
      </c>
      <c r="F20" s="92" t="n"/>
      <c r="G20" s="92" t="n"/>
      <c r="H20" s="92" t="n"/>
      <c r="I20" s="92" t="n"/>
      <c r="J20" s="92" t="n"/>
      <c r="K20" s="33" t="n"/>
    </row>
    <row r="21" ht="48" customHeight="1">
      <c r="E21" s="91" t="inlineStr">
        <is>
          <t>2. Two tiers. Reading (extract fields, read call notes) uses the cheapest model. Judging (clause review, deciding which past commitment applies) uses a stronger one.</t>
        </is>
      </c>
      <c r="F21" s="92" t="n"/>
      <c r="G21" s="92" t="n"/>
      <c r="H21" s="92" t="n"/>
      <c r="I21" s="92" t="n"/>
      <c r="J21" s="92" t="n"/>
      <c r="K21" s="33" t="n"/>
    </row>
    <row r="22" ht="48" customHeight="1">
      <c r="E22" s="91" t="inlineStr">
        <is>
          <t>3. Evidence: the prototype ran both tiers on Gemini 3.5 Flash-Lite and found all 14 expected findings on 11 synthetic contracts and all 24 known risks across 15 real drafts, reading every clause, typically under 20 seconds each, on the free tier. Those drafts averaged about 2,900 tokens, shorter than a real 10-page contract, so this sheet models 6,000 tokens and shows 3,000 and 16,000 as sensitivity.</t>
        </is>
      </c>
      <c r="F22" s="92" t="n"/>
      <c r="G22" s="92" t="n"/>
      <c r="H22" s="92" t="n"/>
      <c r="I22" s="92" t="n"/>
      <c r="J22" s="92" t="n"/>
      <c r="K22" s="33" t="n"/>
    </row>
    <row r="23" ht="48" customHeight="1">
      <c r="E23" s="91" t="inlineStr">
        <is>
          <t>4. Production recommendation: Flash-Lite for reading, Gemini 3.5 Flash for judging, about $0.05 per review for a typical contract. Quality headroom costs cents, so cost does not decide the model; accuracy, privacy terms and rate limits do.</t>
        </is>
      </c>
      <c r="F23" s="92" t="n"/>
      <c r="G23" s="92" t="n"/>
      <c r="H23" s="92" t="n"/>
      <c r="I23" s="92" t="n"/>
      <c r="J23" s="92" t="n"/>
      <c r="K23" s="33" t="n"/>
    </row>
    <row r="24" ht="48" customHeight="1">
      <c r="E24" s="91" t="inlineStr">
        <is>
          <t>5. Fallback: Groq (gpt-oss-120b, qwen3.8-27b, gpt-oss-20b) takes over automatically on rate limits or outages. Claude Haiku 5.5 or Sonnet 5.5 are drop-in options if the data-handling terms require them.</t>
        </is>
      </c>
      <c r="F24" s="92" t="n"/>
      <c r="G24" s="92" t="n"/>
      <c r="H24" s="92" t="n"/>
      <c r="I24" s="92" t="n"/>
      <c r="J24" s="92" t="n"/>
      <c r="K24" s="33" t="n"/>
    </row>
    <row r="25" ht="48" customHeight="1">
      <c r="E25" s="91" t="inlineStr">
        <is>
          <t>6. Levers if volume grows: cache the principles, benchmark and register that repeat in every call; batch API (about half price) for non-urgent re-reviews; fast model for NDAs. Do not shorten the contract itself, because clients want every clause read.</t>
        </is>
      </c>
      <c r="F25" s="92" t="n"/>
      <c r="G25" s="92" t="n"/>
      <c r="H25" s="92" t="n"/>
      <c r="I25" s="92" t="n"/>
      <c r="J25" s="92" t="n"/>
      <c r="K25" s="33" t="n"/>
    </row>
    <row r="26" ht="48" customHeight="1">
      <c r="E26" s="91" t="inlineStr">
        <is>
          <t>7. Embeddings are not used in V1 (see the Embeddings sheet). The register is 14 entries, about 1,300 tokens, so it travels in the prompt.</t>
        </is>
      </c>
      <c r="F26" s="92" t="n"/>
      <c r="G26" s="92" t="n"/>
      <c r="H26" s="92" t="n"/>
      <c r="I26" s="92" t="n"/>
      <c r="J26" s="92" t="n"/>
      <c r="K26" s="33" t="n"/>
    </row>
  </sheetData>
  <mergeCells count="11">
    <mergeCell ref="E23:K23"/>
    <mergeCell ref="E13:K13"/>
    <mergeCell ref="E22:K22"/>
    <mergeCell ref="E26:K26"/>
    <mergeCell ref="E21:K21"/>
    <mergeCell ref="E4:K4"/>
    <mergeCell ref="E20:K20"/>
    <mergeCell ref="E19:K19"/>
    <mergeCell ref="E24:K24"/>
    <mergeCell ref="E25:K25"/>
    <mergeCell ref="B4:C4"/>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C3:J34"/>
  <sheetViews>
    <sheetView zoomScaleNormal="100" workbookViewId="0">
      <selection activeCell="F14" sqref="F14"/>
    </sheetView>
  </sheetViews>
  <sheetFormatPr baseColWidth="8" defaultColWidth="11.19921875" defaultRowHeight="18.95"/>
  <cols>
    <col width="46" bestFit="1" customWidth="1" min="3" max="3"/>
    <col width="18" customWidth="1" min="4" max="4"/>
    <col width="30" bestFit="1" customWidth="1" min="6" max="6"/>
    <col width="15" customWidth="1" min="7" max="7"/>
    <col width="30" customWidth="1" min="9" max="9"/>
    <col width="14.8984375" customWidth="1" min="10" max="10"/>
  </cols>
  <sheetData>
    <row r="2" ht="20.1" customHeight="1" thickBot="1"/>
    <row r="3" ht="24.95" customHeight="1" thickBot="1">
      <c r="C3" s="21" t="inlineStr">
        <is>
          <t>Token/word</t>
        </is>
      </c>
      <c r="D3" s="22" t="n">
        <v>1.3</v>
      </c>
    </row>
    <row r="4" ht="20.1" customHeight="1" thickBot="1"/>
    <row r="5" ht="20.1" customHeight="1">
      <c r="C5" s="93" t="inlineStr">
        <is>
          <t>Signed contracts</t>
        </is>
      </c>
      <c r="D5" s="94" t="n"/>
      <c r="F5" s="95" t="inlineStr">
        <is>
          <t>Register entries</t>
        </is>
      </c>
      <c r="G5" s="94" t="n"/>
      <c r="I5" s="95" t="inlineStr">
        <is>
          <t>Principles + benchmark</t>
        </is>
      </c>
      <c r="J5" s="94" t="n"/>
    </row>
    <row r="6" ht="20.1" customHeight="1">
      <c r="C6" s="3" t="inlineStr">
        <is>
          <t>Component</t>
        </is>
      </c>
      <c r="D6" s="4" t="inlineStr">
        <is>
          <t>Quantity</t>
        </is>
      </c>
      <c r="F6" s="3" t="inlineStr">
        <is>
          <t>Component</t>
        </is>
      </c>
      <c r="G6" s="4" t="inlineStr">
        <is>
          <t>Quantity</t>
        </is>
      </c>
      <c r="I6" s="3" t="inlineStr">
        <is>
          <t>Component</t>
        </is>
      </c>
      <c r="J6" s="4" t="inlineStr">
        <is>
          <t>Quantity</t>
        </is>
      </c>
    </row>
    <row r="7">
      <c r="C7" s="5" t="inlineStr">
        <is>
          <t>Number of contracts (30 signed, 17 on file)</t>
        </is>
      </c>
      <c r="D7" s="6" t="n">
        <v>30</v>
      </c>
      <c r="F7" s="9" t="inlineStr">
        <is>
          <t>Number of register entries</t>
        </is>
      </c>
      <c r="G7" s="10" t="n">
        <v>14</v>
      </c>
      <c r="I7" s="11" t="inlineStr">
        <is>
          <t>Number of documents</t>
        </is>
      </c>
      <c r="J7" s="6" t="n">
        <v>2</v>
      </c>
    </row>
    <row r="8" ht="20.1" customHeight="1">
      <c r="C8" s="5" t="inlineStr">
        <is>
          <t>Number of words per contract</t>
        </is>
      </c>
      <c r="D8" s="6" t="n">
        <v>4600</v>
      </c>
      <c r="F8" s="9" t="inlineStr">
        <is>
          <t>Number of words per entry</t>
        </is>
      </c>
      <c r="G8" s="10" t="n">
        <v>70</v>
      </c>
      <c r="I8" s="12" t="inlineStr">
        <is>
          <t>Number of words per document</t>
        </is>
      </c>
      <c r="J8" s="6" t="n">
        <v>350</v>
      </c>
    </row>
    <row r="9">
      <c r="C9" s="5" t="inlineStr">
        <is>
          <t>Total number of words</t>
        </is>
      </c>
      <c r="D9" s="6">
        <f>D7*D8</f>
        <v/>
      </c>
      <c r="F9" s="9" t="inlineStr">
        <is>
          <t>Total number of words</t>
        </is>
      </c>
      <c r="G9" s="10">
        <f>G8*G7</f>
        <v/>
      </c>
      <c r="I9" s="11" t="inlineStr">
        <is>
          <t>Total number of words</t>
        </is>
      </c>
      <c r="J9" s="6">
        <f>J8*J7</f>
        <v/>
      </c>
    </row>
    <row r="10" ht="20.1" customHeight="1" thickBot="1">
      <c r="C10" s="7" t="inlineStr">
        <is>
          <t>Total Tokens</t>
        </is>
      </c>
      <c r="D10" s="8">
        <f>D9*D3</f>
        <v/>
      </c>
      <c r="F10" s="7" t="inlineStr">
        <is>
          <t>Total tokens</t>
        </is>
      </c>
      <c r="G10" s="8">
        <f>G9*D3</f>
        <v/>
      </c>
      <c r="I10" s="7" t="inlineStr">
        <is>
          <t>Total tokens</t>
        </is>
      </c>
      <c r="J10" s="8">
        <f>J9*D3</f>
        <v/>
      </c>
    </row>
    <row r="12" ht="20.1" customHeight="1" thickBot="1"/>
    <row r="13">
      <c r="C13" s="93" t="inlineStr">
        <is>
          <t>Contract library embeddings (one-off)</t>
        </is>
      </c>
      <c r="D13" s="94" t="n"/>
    </row>
    <row r="14" ht="20.1" customHeight="1">
      <c r="C14" s="3" t="inlineStr">
        <is>
          <t>Component</t>
        </is>
      </c>
      <c r="D14" s="4" t="inlineStr">
        <is>
          <t>Cost/Quantity</t>
        </is>
      </c>
    </row>
    <row r="15">
      <c r="C15" s="5" t="inlineStr">
        <is>
          <t>Total tokens for RAG</t>
        </is>
      </c>
      <c r="D15" s="6">
        <f>D10+G10+J10</f>
        <v/>
      </c>
    </row>
    <row r="16">
      <c r="C16" s="5" t="inlineStr">
        <is>
          <t>Cost per 1M token</t>
        </is>
      </c>
      <c r="D16" s="6" t="n">
        <v>0.13</v>
      </c>
    </row>
    <row r="17" ht="20.1" customHeight="1" thickBot="1">
      <c r="C17" s="13" t="inlineStr">
        <is>
          <t>Total cost for RAG</t>
        </is>
      </c>
      <c r="D17" s="96">
        <f>D15*D16/1000000</f>
        <v/>
      </c>
    </row>
    <row r="19" ht="20.1" customHeight="1" thickBot="1"/>
    <row r="20">
      <c r="C20" s="93" t="inlineStr">
        <is>
          <t>Review lookups</t>
        </is>
      </c>
      <c r="D20" s="94" t="n"/>
    </row>
    <row r="21" ht="20.1" customHeight="1">
      <c r="C21" s="3" t="inlineStr">
        <is>
          <t>Component</t>
        </is>
      </c>
      <c r="D21" s="4" t="inlineStr">
        <is>
          <t>Cost/Quantity</t>
        </is>
      </c>
    </row>
    <row r="22">
      <c r="C22" s="5" t="inlineStr">
        <is>
          <t>Tokens per lookup (contract summary)</t>
        </is>
      </c>
      <c r="D22" s="15" t="n">
        <v>150</v>
      </c>
    </row>
    <row r="23">
      <c r="C23" s="5" t="inlineStr">
        <is>
          <t>Total lookups per month (one per review)</t>
        </is>
      </c>
      <c r="D23" s="6">
        <f>Inference!C16</f>
        <v/>
      </c>
    </row>
    <row r="24">
      <c r="C24" s="5" t="inlineStr">
        <is>
          <t>Token tokens per month</t>
        </is>
      </c>
      <c r="D24" s="6">
        <f>D23*D22</f>
        <v/>
      </c>
    </row>
    <row r="25">
      <c r="C25" s="16" t="inlineStr">
        <is>
          <t>Cost per 1M token</t>
        </is>
      </c>
      <c r="D25" s="17" t="n">
        <v>0.13</v>
      </c>
    </row>
    <row r="26" ht="20.1" customHeight="1" thickBot="1">
      <c r="C26" s="18" t="inlineStr">
        <is>
          <t>Total cost for user query embeddings</t>
        </is>
      </c>
      <c r="D26" s="96">
        <f>D24*D25/1000000</f>
        <v/>
      </c>
    </row>
    <row r="28" ht="20.1" customHeight="1" thickBot="1"/>
    <row r="29" ht="20.1" customHeight="1" thickBot="1">
      <c r="C29" s="19" t="inlineStr">
        <is>
          <t>Total cost of Embeddings</t>
        </is>
      </c>
      <c r="D29" s="97">
        <f>D17+D26</f>
        <v/>
      </c>
    </row>
    <row r="32">
      <c r="C32" s="98" t="inlineStr">
        <is>
          <t>V1 decision: embeddings are NOT used. The register is 14 entries (about 1,300 tokens) and travels in the prompt; matching is done by rules plus the model.</t>
        </is>
      </c>
    </row>
    <row r="33">
      <c r="C33" s="98" t="inlineStr">
        <is>
          <t>The total above is a what-if. It shows embeddings would cost well under one dollar, so they are not ruled out for cost. Revisit when the register passes about 150 entries.</t>
        </is>
      </c>
    </row>
    <row r="34">
      <c r="C34" s="98" t="inlineStr">
        <is>
          <t>Price used: $0.13 per 1M tokens (conservative; same as the course sheet).</t>
        </is>
      </c>
    </row>
  </sheetData>
  <mergeCells count="5">
    <mergeCell ref="C20:D20"/>
    <mergeCell ref="F5:G5"/>
    <mergeCell ref="C5:D5"/>
    <mergeCell ref="I5:J5"/>
    <mergeCell ref="C13:D13"/>
  </mergeCells>
  <pageMargins left="0.7" right="0.7" top="0.75" bottom="0.75" header="0.3" footer="0.3"/>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outlinePr summaryBelow="1" summaryRight="1"/>
    <pageSetUpPr/>
  </sheetPr>
  <dimension ref="D3:H35"/>
  <sheetViews>
    <sheetView zoomScaleNormal="100" workbookViewId="0">
      <selection activeCell="D3" sqref="D3:E3"/>
    </sheetView>
  </sheetViews>
  <sheetFormatPr baseColWidth="8" defaultColWidth="11.19921875" defaultRowHeight="18.95"/>
  <cols>
    <col width="62" customWidth="1" min="4" max="4"/>
    <col width="18" customWidth="1" min="5" max="5"/>
    <col width="4" customWidth="1" min="6" max="6"/>
    <col width="56" customWidth="1" min="7" max="7"/>
    <col width="14" customWidth="1" min="8" max="8"/>
  </cols>
  <sheetData>
    <row r="3">
      <c r="D3" s="60" t="inlineStr">
        <is>
          <t>Step 1. Reviewer HOURS needed today (per month)</t>
        </is>
      </c>
      <c r="G3" s="60" t="inlineStr">
        <is>
          <t>Reviewer HOURS with the tool</t>
        </is>
      </c>
    </row>
    <row r="4">
      <c r="D4" s="99" t="inlineStr">
        <is>
          <t>Component</t>
        </is>
      </c>
      <c r="E4" s="1" t="inlineStr">
        <is>
          <t>Quantity</t>
        </is>
      </c>
      <c r="G4" s="100" t="inlineStr">
        <is>
          <t>Component</t>
        </is>
      </c>
      <c r="H4" s="101" t="inlineStr">
        <is>
          <t>Quantity</t>
        </is>
      </c>
    </row>
    <row r="5">
      <c r="D5" s="99" t="inlineStr">
        <is>
          <t>Contracts per month (MSA, SOW, partnership)</t>
        </is>
      </c>
      <c r="E5" s="102" t="n">
        <v>3.5</v>
      </c>
      <c r="G5" s="103" t="inlineStr">
        <is>
          <t>Hours per standard contract, checking findings (hours)</t>
        </is>
      </c>
      <c r="H5" s="104" t="n">
        <v>0.5</v>
      </c>
    </row>
    <row r="6">
      <c r="D6" s="99" t="inlineStr">
        <is>
          <t>NDAs per month</t>
        </is>
      </c>
      <c r="E6" s="102" t="n">
        <v>4.5</v>
      </c>
      <c r="G6" s="103" t="inlineStr">
        <is>
          <t>Hours per complex contract (hours)</t>
        </is>
      </c>
      <c r="H6" s="104" t="n">
        <v>1.5</v>
      </c>
    </row>
    <row r="7">
      <c r="D7" s="99" t="inlineStr">
        <is>
          <t>Hours per standard contract review (hours)</t>
        </is>
      </c>
      <c r="E7" s="102" t="n">
        <v>2</v>
      </c>
      <c r="G7" s="103" t="inlineStr">
        <is>
          <t>Hours per NDA (hours)</t>
        </is>
      </c>
      <c r="H7" s="105" t="n">
        <v>0.25</v>
      </c>
    </row>
    <row r="8">
      <c r="D8" s="99" t="inlineStr">
        <is>
          <t>Hours per complex contract review (hours)</t>
        </is>
      </c>
      <c r="E8" s="102" t="n">
        <v>7</v>
      </c>
      <c r="G8" s="103" t="inlineStr">
        <is>
          <t>Later-version effort vs first (%)</t>
        </is>
      </c>
      <c r="H8" s="106" t="n">
        <v>0.5</v>
      </c>
    </row>
    <row r="9">
      <c r="D9" s="99" t="inlineStr">
        <is>
          <t>Share of contracts that are complex (%)</t>
        </is>
      </c>
      <c r="E9" s="107" t="n">
        <v>0.3</v>
      </c>
      <c r="G9" s="103" t="inlineStr">
        <is>
          <t>Review hours per month with the tool (hours)</t>
        </is>
      </c>
      <c r="H9" s="104">
        <f>(E5*((1-E9)*H5+E9*H6)+E6*H7)*(1+(Inference!C15-1)*H8)</f>
        <v/>
      </c>
    </row>
    <row r="10">
      <c r="D10" s="99" t="inlineStr">
        <is>
          <t>Hours per NDA review (hours)</t>
        </is>
      </c>
      <c r="E10" s="102" t="n">
        <v>1</v>
      </c>
      <c r="G10" s="103" t="inlineStr">
        <is>
          <t>Hours saved per month (hours)</t>
        </is>
      </c>
      <c r="H10" s="104">
        <f>E12-H9</f>
        <v/>
      </c>
    </row>
    <row r="11" ht="22" customHeight="1">
      <c r="D11" s="100" t="inlineStr">
        <is>
          <t>Review hours per month, first versions (hours)</t>
        </is>
      </c>
      <c r="E11" s="104">
        <f>E5*((1-E9)*E7+E9*E8)+E6*E10</f>
        <v/>
      </c>
      <c r="G11" s="103" t="inlineStr">
        <is>
          <t>% of reviewer hours saved</t>
        </is>
      </c>
      <c r="H11" s="106">
        <f>H10/E12</f>
        <v/>
      </c>
    </row>
    <row r="12" ht="38" customHeight="1">
      <c r="D12" s="100" t="inlineStr">
        <is>
          <t>Review hours per month incl. later versions at 50% effort (hours)</t>
        </is>
      </c>
      <c r="E12" s="104">
        <f>E11*(1+(Inference!C15-1)*0.5)</f>
        <v/>
      </c>
    </row>
    <row r="13">
      <c r="D13" s="61" t="inlineStr">
        <is>
          <t>Step 2. Monthly COST of reviewing today (USD)</t>
        </is>
      </c>
    </row>
    <row r="14">
      <c r="D14" s="108" t="inlineStr">
        <is>
          <t>Component</t>
        </is>
      </c>
      <c r="E14" s="44" t="inlineStr">
        <is>
          <t>Cost</t>
        </is>
      </c>
    </row>
    <row r="15">
      <c r="D15" s="109" t="inlineStr">
        <is>
          <t>Loaded cost per reviewer hour ($ per hour)</t>
        </is>
      </c>
      <c r="E15" s="110" t="n">
        <v>60</v>
      </c>
    </row>
    <row r="16" ht="38" customHeight="1">
      <c r="D16" s="109" t="inlineStr">
        <is>
          <t>Reviewer time cost per month ($) = hours in E12 x rate in E15</t>
        </is>
      </c>
      <c r="E16" s="111">
        <f>E12*E15</f>
        <v/>
      </c>
    </row>
    <row r="17" ht="22" customHeight="1">
      <c r="D17" s="112" t="inlineStr">
        <is>
          <t>External counsel per month ($5,000 a year, excl. disputes)</t>
        </is>
      </c>
      <c r="E17" s="113">
        <f>5000/12</f>
        <v/>
      </c>
    </row>
    <row r="18" ht="38" customHeight="1">
      <c r="D18" s="114" t="inlineStr">
        <is>
          <t>Total cost per month today ($) = reviewer time + counsel</t>
        </is>
      </c>
      <c r="E18" s="115">
        <f>E16+E17</f>
        <v/>
      </c>
    </row>
    <row r="19">
      <c r="D19" s="61" t="n"/>
      <c r="E19" s="116" t="n"/>
    </row>
    <row r="20">
      <c r="D20" s="117" t="n"/>
    </row>
    <row r="21">
      <c r="D21" s="117" t="n"/>
    </row>
    <row r="22" ht="20.1" customHeight="1">
      <c r="D22" s="61" t="inlineStr">
        <is>
          <t>Step 3. Monthly COST with ContractGuard (USD)</t>
        </is>
      </c>
    </row>
    <row r="23">
      <c r="D23" s="108" t="inlineStr">
        <is>
          <t>Component</t>
        </is>
      </c>
      <c r="E23" s="44" t="inlineStr">
        <is>
          <t>Cost</t>
        </is>
      </c>
    </row>
    <row r="24">
      <c r="D24" s="118" t="inlineStr">
        <is>
          <t>Model cost (recommended blend, Inference sheet)</t>
        </is>
      </c>
      <c r="E24" s="119">
        <f>Inference!K6</f>
        <v/>
      </c>
    </row>
    <row r="25">
      <c r="D25" s="120" t="inlineStr">
        <is>
          <t>Hosting + storage (production estimate)</t>
        </is>
      </c>
      <c r="E25" s="121" t="n">
        <v>45</v>
      </c>
    </row>
    <row r="26" ht="38" customHeight="1">
      <c r="D26" s="122" t="inlineStr">
        <is>
          <t>Reviewer time still needed ($) = hours in H9 x rate in E15</t>
        </is>
      </c>
      <c r="E26" s="123">
        <f>H9*E15</f>
        <v/>
      </c>
    </row>
    <row r="27" ht="58" customHeight="1">
      <c r="D27" s="61" t="inlineStr">
        <is>
          <t>Total monthly cost with ContractGuard ($) = model + hosting + reviewer time + counsel</t>
        </is>
      </c>
      <c r="E27" s="124">
        <f>E24+E25+E26+E17</f>
        <v/>
      </c>
    </row>
    <row r="28">
      <c r="D28" s="117" t="n"/>
    </row>
    <row r="29">
      <c r="D29" s="117" t="n"/>
    </row>
    <row r="30">
      <c r="D30" s="125" t="inlineStr">
        <is>
          <t>Total savings per month ($)</t>
        </is>
      </c>
      <c r="E30" s="126">
        <f>E18-E27</f>
        <v/>
      </c>
    </row>
    <row r="31">
      <c r="D31" s="125" t="inlineStr">
        <is>
          <t>% savings</t>
        </is>
      </c>
      <c r="E31" s="43">
        <f>E30/E18</f>
        <v/>
      </c>
    </row>
    <row r="32">
      <c r="D32" s="117" t="n"/>
    </row>
    <row r="33" ht="22" customHeight="1">
      <c r="D33" s="125" t="inlineStr">
        <is>
          <t>Savings if only half the hours are saved ($)</t>
        </is>
      </c>
      <c r="E33" s="126">
        <f>(E12-H9)/2*E15-E24-E25</f>
        <v/>
      </c>
    </row>
    <row r="34" ht="38" customHeight="1">
      <c r="D34" s="125" t="inlineStr">
        <is>
          <t>Break-even: reviewer hours saved per month (hours)</t>
        </is>
      </c>
      <c r="E34" s="127">
        <f>(E24+E25)/E15</f>
        <v/>
      </c>
    </row>
    <row r="35" ht="58" customHeight="1">
      <c r="D35" s="125" t="inlineStr">
        <is>
          <t>One avoided Brightwater-type loss ($23,000) covers this many months of the full tool cost (months)</t>
        </is>
      </c>
      <c r="E35" s="128">
        <f>23000/(E24+E25)</f>
        <v/>
      </c>
    </row>
  </sheetData>
  <mergeCells count="4">
    <mergeCell ref="D3:E3"/>
    <mergeCell ref="D13:E13"/>
    <mergeCell ref="G3:H3"/>
    <mergeCell ref="D22:E22"/>
  </mergeCells>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4.xml><?xml version="1.0" encoding="utf-8"?>
<worksheet xmlns="http://schemas.openxmlformats.org/spreadsheetml/2006/main">
  <sheetPr>
    <outlinePr summaryBelow="1" summaryRight="1"/>
    <pageSetUpPr/>
  </sheetPr>
  <dimension ref="B2:E36"/>
  <sheetViews>
    <sheetView showGridLines="0" workbookViewId="0">
      <selection activeCell="A1" sqref="A1"/>
    </sheetView>
  </sheetViews>
  <sheetFormatPr baseColWidth="8" defaultRowHeight="15"/>
  <cols>
    <col width="3" customWidth="1" min="1" max="1"/>
    <col width="38" customWidth="1" min="2" max="2"/>
    <col width="28" customWidth="1" min="3" max="3"/>
    <col width="20" customWidth="1" min="4" max="4"/>
    <col width="100" customWidth="1" min="5" max="5"/>
  </cols>
  <sheetData>
    <row r="2">
      <c r="B2" s="129" t="inlineStr">
        <is>
          <t>ContractGuard cost estimate: where every number comes from</t>
        </is>
      </c>
    </row>
    <row r="3">
      <c r="B3" s="130" t="inlineStr">
        <is>
          <t>Prices dated 11 Oct 2026 from third-party price trackers; confirm on the providers' own pricing pages before committing. All blue-sheet inputs can be changed.</t>
        </is>
      </c>
    </row>
    <row r="5">
      <c r="B5" s="131" t="inlineStr">
        <is>
          <t>Input</t>
        </is>
      </c>
      <c r="C5" s="131" t="inlineStr">
        <is>
          <t>Value</t>
        </is>
      </c>
      <c r="D5" s="131" t="inlineStr">
        <is>
          <t>Type</t>
        </is>
      </c>
      <c r="E5" s="131" t="inlineStr">
        <is>
          <t>Source or reasoning</t>
        </is>
      </c>
    </row>
    <row r="6">
      <c r="B6" s="132" t="inlineStr">
        <is>
          <t>Contract length</t>
        </is>
      </c>
      <c r="C6" s="132" t="inlineStr">
        <is>
          <t>6,000 tokens per pass (about 10 pages)</t>
        </is>
      </c>
      <c r="D6" s="132" t="inlineStr">
        <is>
          <t>Client meeting 2 + estimate</t>
        </is>
      </c>
      <c r="E6" s="132" t="inlineStr">
        <is>
          <t>Typical contracts are 10 to 15 pages; 6,000 tokens is about 4,500 words. The 15 dataset drafts are shorter (about 2,900 tokens), so their measured cost understates a real contract. Sensitivity table on the Inference sheet: 2,900, 6,000 and 16,000 tokens (40 pages).</t>
        </is>
      </c>
    </row>
    <row r="7">
      <c r="B7" s="132" t="inlineStr">
        <is>
          <t>Input tokens per review</t>
        </is>
      </c>
      <c r="C7" s="132" t="inlineStr">
        <is>
          <t>18,040 (typical)</t>
        </is>
      </c>
      <c r="D7" s="132" t="inlineStr">
        <is>
          <t>Modelled from measured parts</t>
        </is>
      </c>
      <c r="E7" s="132" t="inlineStr">
        <is>
          <t>Contract text twice (reading, clause review) + 4 clause-review batches x 860 + fixed 2,600. The 860 and 2,600 were derived from the measured 15-draft average of 10,996 input tokens.</t>
        </is>
      </c>
    </row>
    <row r="8">
      <c r="B8" s="132" t="inlineStr">
        <is>
          <t>Output tokens per review</t>
        </is>
      </c>
      <c r="C8" s="132" t="inlineStr">
        <is>
          <t>4,040 (typical)</t>
        </is>
      </c>
      <c r="D8" s="132" t="inlineStr">
        <is>
          <t>Measured ratio</t>
        </is>
      </c>
      <c r="E8" s="132" t="inlineStr">
        <is>
          <t>Output was 22.4% of input over the 15 real drafts (37,027 out against 164,954 in); the same ratio is applied to the typical contract.</t>
        </is>
      </c>
    </row>
    <row r="9">
      <c r="B9" s="132" t="inlineStr">
        <is>
          <t>Longest contract</t>
        </is>
      </c>
      <c r="C9" s="132" t="inlineStr">
        <is>
          <t>about 40 pages (16,000 tokens)</t>
        </is>
      </c>
      <c r="D9" s="132" t="inlineStr">
        <is>
          <t>Client meeting 2</t>
        </is>
      </c>
      <c r="E9" s="132" t="inlineStr">
        <is>
          <t>Aakash: outliers reach 40 pages. About $0.12 per review with the recommended blend.</t>
        </is>
      </c>
    </row>
    <row r="10">
      <c r="B10" s="132" t="inlineStr">
        <is>
          <t>Documents per month</t>
        </is>
      </c>
      <c r="C10" s="132" t="inlineStr">
        <is>
          <t>3-4 contracts + 4-5 NDAs = 8</t>
        </is>
      </c>
      <c r="D10" s="132" t="inlineStr">
        <is>
          <t>Client chat (Discord)</t>
        </is>
      </c>
      <c r="E10" s="132" t="inlineStr">
        <is>
          <t>Baseline volume from the client answers.</t>
        </is>
      </c>
    </row>
    <row r="11">
      <c r="B11" s="132" t="inlineStr">
        <is>
          <t>Versions per document</t>
        </is>
      </c>
      <c r="C11" s="132" t="inlineStr">
        <is>
          <t>2</t>
        </is>
      </c>
      <c r="D11" s="132" t="inlineStr">
        <is>
          <t>Assumption</t>
        </is>
      </c>
      <c r="E11" s="132" t="inlineStr">
        <is>
          <t>Drafts go back and forth; client said each version is reviewed in full again.</t>
        </is>
      </c>
    </row>
    <row r="12">
      <c r="B12" s="132" t="inlineStr">
        <is>
          <t>Hours per standard / complex review</t>
        </is>
      </c>
      <c r="C12" s="132" t="inlineStr">
        <is>
          <t>2 / 7</t>
        </is>
      </c>
      <c r="D12" s="132" t="inlineStr">
        <is>
          <t>Client meeting 2</t>
        </is>
      </c>
      <c r="E12" s="132" t="inlineStr">
        <is>
          <t>Standard about 2 hours, complex 6-8 hours (midpoint 7). Share of complex contracts (30%) is an assumption.</t>
        </is>
      </c>
    </row>
    <row r="13">
      <c r="B13" s="132" t="inlineStr">
        <is>
          <t>Hours per NDA</t>
        </is>
      </c>
      <c r="C13" s="132" t="inlineStr">
        <is>
          <t>1</t>
        </is>
      </c>
      <c r="D13" s="132" t="inlineStr">
        <is>
          <t>Assumption</t>
        </is>
      </c>
      <c r="E13" s="132" t="inlineStr">
        <is>
          <t>Not given by the client; NDAs are shorter. Change in Cost Savings!E10.</t>
        </is>
      </c>
    </row>
    <row r="14">
      <c r="B14" s="132" t="inlineStr">
        <is>
          <t>Later-version effort</t>
        </is>
      </c>
      <c r="C14" s="132" t="inlineStr">
        <is>
          <t>50% of first</t>
        </is>
      </c>
      <c r="D14" s="132" t="inlineStr">
        <is>
          <t>Assumption</t>
        </is>
      </c>
      <c r="E14" s="132" t="inlineStr">
        <is>
          <t>A person comparing a new version with the last one reads mainly what changed.</t>
        </is>
      </c>
    </row>
    <row r="15">
      <c r="B15" s="132" t="inlineStr">
        <is>
          <t>Hours with the tool</t>
        </is>
      </c>
      <c r="C15" s="132" t="inlineStr">
        <is>
          <t>0.5 / 1.5 / 0.25</t>
        </is>
      </c>
      <c r="D15" s="132" t="inlineStr">
        <is>
          <t>Assumption</t>
        </is>
      </c>
      <c r="E15" s="132" t="inlineStr">
        <is>
          <t>Time to check each finding against its quote and decide. To be measured in the pilot (TRR and time-to-first-decision).</t>
        </is>
      </c>
    </row>
    <row r="16">
      <c r="B16" s="132" t="inlineStr">
        <is>
          <t>Loaded cost per reviewer hour</t>
        </is>
      </c>
      <c r="C16" s="132" t="inlineStr">
        <is>
          <t>$60</t>
        </is>
      </c>
      <c r="D16" s="132" t="inlineStr">
        <is>
          <t>Assumption</t>
        </is>
      </c>
      <c r="E16" s="132" t="inlineStr">
        <is>
          <t>Management time of the founders and the signer, not a salary line. Break-even is under one hour a month (Cost Savings!E34).</t>
        </is>
      </c>
    </row>
    <row r="17">
      <c r="B17" s="132" t="inlineStr">
        <is>
          <t>External counsel</t>
        </is>
      </c>
      <c r="C17" s="132" t="inlineStr">
        <is>
          <t>$5,000 a year</t>
        </is>
      </c>
      <c r="D17" s="132" t="inlineStr">
        <is>
          <t>Client (Discord)</t>
        </is>
      </c>
      <c r="E17" s="132" t="inlineStr">
        <is>
          <t>Excludes disputes. Not reduced in the base case, so savings are understated if the tool lowers counsel use.</t>
        </is>
      </c>
    </row>
    <row r="18">
      <c r="B18" s="132" t="inlineStr">
        <is>
          <t>Hosting + storage in production</t>
        </is>
      </c>
      <c r="C18" s="132" t="inlineStr">
        <is>
          <t>$45 a month</t>
        </is>
      </c>
      <c r="D18" s="132" t="inlineStr">
        <is>
          <t>Estimate</t>
        </is>
      </c>
      <c r="E18" s="132" t="inlineStr">
        <is>
          <t>Vercel Pro seat $20 (Hobby is non-commercial) plus a small managed database $25. Prototype runs on free tiers: $0.</t>
        </is>
      </c>
    </row>
    <row r="19">
      <c r="B19" s="132" t="inlineStr">
        <is>
          <t>Gemini 3.5 Flash-Lite</t>
        </is>
      </c>
      <c r="C19" s="132" t="inlineStr">
        <is>
          <t>$0.30 in / $2.50 out</t>
        </is>
      </c>
      <c r="D19" s="132" t="inlineStr">
        <is>
          <t>Price tracker</t>
        </is>
      </c>
      <c r="E19" s="132" t="inlineStr">
        <is>
          <t>anotherwrapper.com and pricepertoken.com; official page not confirmed.</t>
        </is>
      </c>
    </row>
    <row r="20">
      <c r="B20" s="132" t="inlineStr">
        <is>
          <t>Gemini 3.5 Flash</t>
        </is>
      </c>
      <c r="C20" s="132" t="inlineStr">
        <is>
          <t>$1.50 in / $9.00 out</t>
        </is>
      </c>
      <c r="D20" s="132" t="inlineStr">
        <is>
          <t>Price tracker</t>
        </is>
      </c>
      <c r="E20" s="132" t="inlineStr">
        <is>
          <t>benchlm.ai and evolink.ai.</t>
        </is>
      </c>
    </row>
    <row r="21">
      <c r="B21" s="132" t="inlineStr">
        <is>
          <t>Claude Haiku 5.5</t>
        </is>
      </c>
      <c r="C21" s="132" t="inlineStr">
        <is>
          <t>$0.10 in / $0.50 out</t>
        </is>
      </c>
      <c r="D21" s="132" t="inlineStr">
        <is>
          <t>Price tracker</t>
        </is>
      </c>
      <c r="E21" s="132" t="inlineStr">
        <is>
          <t>Prompts under 100K tokens; batch is half price. apidog.com, eesel.ai.</t>
        </is>
      </c>
    </row>
    <row r="22">
      <c r="B22" s="132" t="inlineStr">
        <is>
          <t>Claude Sonnet 5.5</t>
        </is>
      </c>
      <c r="C22" s="132" t="inlineStr">
        <is>
          <t>$2.00 in / $10.00 out</t>
        </is>
      </c>
      <c r="D22" s="132" t="inlineStr">
        <is>
          <t>Price tracker</t>
        </is>
      </c>
      <c r="E22" s="132" t="inlineStr">
        <is>
          <t>apidog.com. Batch is half price.</t>
        </is>
      </c>
    </row>
    <row r="23">
      <c r="B23" s="132" t="inlineStr">
        <is>
          <t>Groq gpt-oss-120b</t>
        </is>
      </c>
      <c r="C23" s="132" t="inlineStr">
        <is>
          <t>$0.15 in / $0.60 out</t>
        </is>
      </c>
      <c r="D23" s="132" t="inlineStr">
        <is>
          <t>Indicative</t>
        </is>
      </c>
      <c r="E23" s="132" t="inlineStr">
        <is>
          <t>Fallback only; free tier limits about 8,000 tokens a minute per model.</t>
        </is>
      </c>
    </row>
    <row r="24">
      <c r="B24" s="132" t="inlineStr">
        <is>
          <t>Embeddings price</t>
        </is>
      </c>
      <c r="C24" s="132" t="inlineStr">
        <is>
          <t>$0.13 per 1M tokens</t>
        </is>
      </c>
      <c r="D24" s="132" t="inlineStr">
        <is>
          <t>Course sheet</t>
        </is>
      </c>
      <c r="E24" s="132" t="inlineStr">
        <is>
          <t>Kept from the template; embeddings are not used in V1.</t>
        </is>
      </c>
    </row>
    <row r="25">
      <c r="B25" s="132" t="inlineStr">
        <is>
          <t>Not included</t>
        </is>
      </c>
      <c r="C25" s="132" t="inlineStr"/>
      <c r="D25" s="132" t="inlineStr">
        <is>
          <t>Scope note</t>
        </is>
      </c>
      <c r="E25" s="132" t="inlineStr">
        <is>
          <t>Build effort (PM-led, AI-assisted), legal review of provider data terms, and an eventual signed-contract backfill of the 13 contracts not on file.</t>
        </is>
      </c>
    </row>
    <row r="28">
      <c r="B28" s="133" t="inlineStr">
        <is>
          <t>Cost per review compared (USD)</t>
        </is>
      </c>
    </row>
    <row r="29">
      <c r="B29" s="134" t="inlineStr">
        <is>
          <t>See Inference sheet column J. For a typical 6,000-token contract the recommended blend costs about 5 cents per review, and every model tested is under 10 cents.</t>
        </is>
      </c>
    </row>
    <row r="31">
      <c r="B31" s="133" t="inlineStr">
        <is>
          <t>Decisions this estimate drives</t>
        </is>
      </c>
    </row>
    <row r="32" ht="48" customHeight="1">
      <c r="B32" s="135" t="inlineStr">
        <is>
          <t>Which model tier to use</t>
        </is>
      </c>
      <c r="C32" s="136" t="inlineStr">
        <is>
          <t>Cost is cents per review on every model tested, so cost does not choose the model. Choose on accuracy (gold-set recall and precision), privacy terms and rate limits. Re-run the 24-risk gold set before switching.</t>
        </is>
      </c>
    </row>
    <row r="33" ht="48" customHeight="1">
      <c r="B33" s="135" t="inlineStr">
        <is>
          <t>Whether to go beyond the free tier</t>
        </is>
      </c>
      <c r="C33" s="136" t="inlineStr">
        <is>
          <t>The free tier covers the pilot volume (16 reviews a month) but is rate-limited (about 15 requests a minute on Gemini, about 3 reviews a minute on the Groq backup). Pay when more than one person reviews at the same time, or when the data-handling terms of the free tier are not acceptable for real contracts.</t>
        </is>
      </c>
    </row>
    <row r="34" ht="48" customHeight="1">
      <c r="B34" s="135" t="inlineStr">
        <is>
          <t>Whether the pilot is worth running</t>
        </is>
      </c>
      <c r="C34" s="136" t="inlineStr">
        <is>
          <t>The pilot cost is about $1 a month in model fees plus $45 a month hosting. The saving is senior time: about $1,100 a month on the stated assumptions, which are untested. The pilot should measure hours with and without the tool before the saving is claimed.</t>
        </is>
      </c>
    </row>
    <row r="35" ht="48" customHeight="1">
      <c r="B35" s="135" t="inlineStr">
        <is>
          <t>Spending cap</t>
        </is>
      </c>
      <c r="C35" s="136" t="inlineStr">
        <is>
          <t>The prototype endpoint stops after 2,500 model calls a day (several hundred reviews), so a leaked link cannot run up a bill. Keep a provider-side budget alert as well; the in-app cap is held in memory and is best effort.</t>
        </is>
      </c>
    </row>
    <row r="36" ht="48" customHeight="1">
      <c r="B36" s="135" t="inlineStr">
        <is>
          <t>What would change the answer</t>
        </is>
      </c>
      <c r="C36" s="136" t="inlineStr">
        <is>
          <t>Contracts longer than 40 pages, or volume above 60 documents a month, are the cases to re-model first (see the sensitivity table). Embeddings only become useful if the register grows beyond what fits in the prompt (a few hundred entries).</t>
        </is>
      </c>
    </row>
  </sheetData>
  <mergeCells count="5">
    <mergeCell ref="C36:E36"/>
    <mergeCell ref="C33:E33"/>
    <mergeCell ref="C35:E35"/>
    <mergeCell ref="C34:E34"/>
    <mergeCell ref="C32:E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Aakash  Pardeshi</dc:creator>
  <dcterms:created xmlns:dcterms="http://purl.org/dc/terms/" xmlns:xsi="http://www.w3.org/2001/XMLSchema-instance" xsi:type="dcterms:W3CDTF">2026-09-12T10:38:39Z</dcterms:created>
  <dcterms:modified xmlns:dcterms="http://purl.org/dc/terms/" xmlns:xsi="http://www.w3.org/2001/XMLSchema-instance" xsi:type="dcterms:W3CDTF">2026-10-12T18:18:50Z</dcterms:modified>
</cp:coreProperties>
</file>